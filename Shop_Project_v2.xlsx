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luja\Downloads\"/>
    </mc:Choice>
  </mc:AlternateContent>
  <xr:revisionPtr revIDLastSave="0" documentId="8_{A02292E8-CFC8-4A4D-B367-54044B6A6BF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base" sheetId="1" r:id="rId1"/>
    <sheet name="Data_Source" sheetId="6" r:id="rId2"/>
    <sheet name="Pivot Tables" sheetId="7" r:id="rId3"/>
    <sheet name="Dashboard" sheetId="9" r:id="rId4"/>
  </sheets>
  <calcPr calcId="181029" iterateDelta="1E-4"/>
  <pivotCaches>
    <pivotCache cacheId="0" r:id="rId5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3" i="7" l="1"/>
  <c r="B72" i="7"/>
  <c r="B71" i="7"/>
  <c r="B70" i="7"/>
  <c r="B66" i="7"/>
  <c r="C66" i="7" s="1"/>
  <c r="B65" i="7"/>
  <c r="C65" i="7" s="1"/>
  <c r="B64" i="7"/>
  <c r="C64" i="7" s="1"/>
  <c r="B63" i="7"/>
  <c r="C63" i="7" s="1"/>
  <c r="H91" i="6"/>
  <c r="C91" i="6"/>
  <c r="H90" i="6"/>
  <c r="C90" i="6"/>
  <c r="H89" i="6"/>
  <c r="C89" i="6"/>
  <c r="H88" i="6"/>
  <c r="C88" i="6"/>
  <c r="H87" i="6"/>
  <c r="C87" i="6"/>
  <c r="H86" i="6"/>
  <c r="C86" i="6"/>
  <c r="H85" i="6"/>
  <c r="C85" i="6"/>
  <c r="H84" i="6"/>
  <c r="C84" i="6"/>
  <c r="H83" i="6"/>
  <c r="C83" i="6"/>
  <c r="H82" i="6"/>
  <c r="C82" i="6"/>
  <c r="H81" i="6"/>
  <c r="C81" i="6"/>
  <c r="H80" i="6"/>
  <c r="C80" i="6"/>
  <c r="H79" i="6"/>
  <c r="C79" i="6"/>
  <c r="H78" i="6"/>
  <c r="C78" i="6"/>
  <c r="H77" i="6"/>
  <c r="C77" i="6"/>
  <c r="H76" i="6"/>
  <c r="C76" i="6"/>
  <c r="H75" i="6"/>
  <c r="C75" i="6"/>
  <c r="H74" i="6"/>
  <c r="C74" i="6"/>
  <c r="H73" i="6"/>
  <c r="C73" i="6"/>
  <c r="H72" i="6"/>
  <c r="C72" i="6"/>
  <c r="H71" i="6"/>
  <c r="C71" i="6"/>
  <c r="H70" i="6"/>
  <c r="C70" i="6"/>
  <c r="H69" i="6"/>
  <c r="C69" i="6"/>
  <c r="H68" i="6"/>
  <c r="C68" i="6"/>
  <c r="H67" i="6"/>
  <c r="C67" i="6"/>
  <c r="H66" i="6"/>
  <c r="C66" i="6"/>
  <c r="H65" i="6"/>
  <c r="C65" i="6"/>
  <c r="H64" i="6"/>
  <c r="C64" i="6"/>
  <c r="H63" i="6"/>
  <c r="C63" i="6"/>
  <c r="H62" i="6"/>
  <c r="C62" i="6"/>
  <c r="H61" i="6"/>
  <c r="C61" i="6"/>
  <c r="H60" i="6"/>
  <c r="C60" i="6"/>
  <c r="H59" i="6"/>
  <c r="C59" i="6"/>
  <c r="H58" i="6"/>
  <c r="C58" i="6"/>
  <c r="H57" i="6"/>
  <c r="C57" i="6"/>
  <c r="H56" i="6"/>
  <c r="C56" i="6"/>
  <c r="H55" i="6"/>
  <c r="C55" i="6"/>
  <c r="H54" i="6"/>
  <c r="C54" i="6"/>
  <c r="H53" i="6"/>
  <c r="C53" i="6"/>
  <c r="H52" i="6"/>
  <c r="C52" i="6"/>
  <c r="H51" i="6"/>
  <c r="C51" i="6"/>
  <c r="H50" i="6"/>
  <c r="C50" i="6"/>
  <c r="H49" i="6"/>
  <c r="C49" i="6"/>
  <c r="H48" i="6"/>
  <c r="C48" i="6"/>
  <c r="H47" i="6"/>
  <c r="C47" i="6"/>
  <c r="H46" i="6"/>
  <c r="C46" i="6"/>
  <c r="H45" i="6"/>
  <c r="C45" i="6"/>
  <c r="H44" i="6"/>
  <c r="C44" i="6"/>
  <c r="H43" i="6"/>
  <c r="C43" i="6"/>
  <c r="H42" i="6"/>
  <c r="C42" i="6"/>
  <c r="H41" i="6"/>
  <c r="C41" i="6"/>
  <c r="H40" i="6"/>
  <c r="C40" i="6"/>
  <c r="H39" i="6"/>
  <c r="C39" i="6"/>
  <c r="H38" i="6"/>
  <c r="C38" i="6"/>
  <c r="H37" i="6"/>
  <c r="C37" i="6"/>
  <c r="H36" i="6"/>
  <c r="C36" i="6"/>
  <c r="H35" i="6"/>
  <c r="C35" i="6"/>
  <c r="H34" i="6"/>
  <c r="C34" i="6"/>
  <c r="H33" i="6"/>
  <c r="C33" i="6"/>
  <c r="H32" i="6"/>
  <c r="C32" i="6"/>
  <c r="H31" i="6"/>
  <c r="C31" i="6"/>
  <c r="H30" i="6"/>
  <c r="C30" i="6"/>
  <c r="H29" i="6"/>
  <c r="C29" i="6"/>
  <c r="H28" i="6"/>
  <c r="C28" i="6"/>
  <c r="H27" i="6"/>
  <c r="C27" i="6"/>
  <c r="H26" i="6"/>
  <c r="C26" i="6"/>
  <c r="H25" i="6"/>
  <c r="C25" i="6"/>
  <c r="H24" i="6"/>
  <c r="C24" i="6"/>
  <c r="H23" i="6"/>
  <c r="C23" i="6"/>
  <c r="H22" i="6"/>
  <c r="C22" i="6"/>
  <c r="H21" i="6"/>
  <c r="C21" i="6"/>
  <c r="H20" i="6"/>
  <c r="C20" i="6"/>
  <c r="H19" i="6"/>
  <c r="C19" i="6"/>
  <c r="H18" i="6"/>
  <c r="C18" i="6"/>
  <c r="H17" i="6"/>
  <c r="C17" i="6"/>
  <c r="H16" i="6"/>
  <c r="C16" i="6"/>
  <c r="H15" i="6"/>
  <c r="C15" i="6"/>
  <c r="H14" i="6"/>
  <c r="C14" i="6"/>
  <c r="H13" i="6"/>
  <c r="C13" i="6"/>
  <c r="H12" i="6"/>
  <c r="C12" i="6"/>
  <c r="H11" i="6"/>
  <c r="C11" i="6"/>
  <c r="H10" i="6"/>
  <c r="C10" i="6"/>
  <c r="H9" i="6"/>
  <c r="C9" i="6"/>
  <c r="H8" i="6"/>
  <c r="C8" i="6"/>
  <c r="H7" i="6"/>
  <c r="C7" i="6"/>
  <c r="H6" i="6"/>
  <c r="C6" i="6"/>
  <c r="H5" i="6"/>
  <c r="C5" i="6"/>
  <c r="H4" i="6"/>
  <c r="C4" i="6"/>
  <c r="H3" i="6"/>
  <c r="C3" i="6"/>
  <c r="H2" i="6"/>
  <c r="C2" i="6"/>
  <c r="H91" i="1"/>
  <c r="C91" i="1"/>
  <c r="H90" i="1"/>
  <c r="C90" i="1"/>
  <c r="H89" i="1"/>
  <c r="C89" i="1"/>
  <c r="H88" i="1"/>
  <c r="C88" i="1"/>
  <c r="H87" i="1"/>
  <c r="C87" i="1"/>
  <c r="H86" i="1"/>
  <c r="C86" i="1"/>
  <c r="H85" i="1"/>
  <c r="C85" i="1"/>
  <c r="H84" i="1"/>
  <c r="C84" i="1"/>
  <c r="H83" i="1"/>
  <c r="C83" i="1"/>
  <c r="H82" i="1"/>
  <c r="C82" i="1"/>
  <c r="H81" i="1"/>
  <c r="C81" i="1"/>
  <c r="H80" i="1"/>
  <c r="C80" i="1"/>
  <c r="H79" i="1"/>
  <c r="C79" i="1"/>
  <c r="H78" i="1"/>
  <c r="C78" i="1"/>
  <c r="H77" i="1"/>
  <c r="C77" i="1"/>
  <c r="H76" i="1"/>
  <c r="C76" i="1"/>
  <c r="H75" i="1"/>
  <c r="C75" i="1"/>
  <c r="H74" i="1"/>
  <c r="C74" i="1"/>
  <c r="H73" i="1"/>
  <c r="C73" i="1"/>
  <c r="H72" i="1"/>
  <c r="C72" i="1"/>
  <c r="H71" i="1"/>
  <c r="C71" i="1"/>
  <c r="H70" i="1"/>
  <c r="C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H53" i="1"/>
  <c r="C53" i="1"/>
  <c r="H52" i="1"/>
  <c r="C52" i="1"/>
  <c r="H51" i="1"/>
  <c r="C51" i="1"/>
  <c r="H50" i="1"/>
  <c r="C50" i="1"/>
  <c r="H49" i="1"/>
  <c r="C49" i="1"/>
  <c r="H48" i="1"/>
  <c r="C48" i="1"/>
  <c r="H47" i="1"/>
  <c r="C47" i="1"/>
  <c r="H46" i="1"/>
  <c r="C46" i="1"/>
  <c r="H45" i="1"/>
  <c r="C45" i="1"/>
  <c r="H44" i="1"/>
  <c r="C44" i="1"/>
  <c r="H43" i="1"/>
  <c r="C43" i="1"/>
  <c r="H42" i="1"/>
  <c r="C42" i="1"/>
  <c r="H41" i="1"/>
  <c r="C41" i="1"/>
  <c r="H40" i="1"/>
  <c r="C40" i="1"/>
  <c r="H39" i="1"/>
  <c r="C39" i="1"/>
  <c r="H38" i="1"/>
  <c r="C38" i="1"/>
  <c r="H37" i="1"/>
  <c r="C37" i="1"/>
  <c r="H36" i="1"/>
  <c r="C36" i="1"/>
  <c r="H35" i="1"/>
  <c r="C35" i="1"/>
  <c r="H34" i="1"/>
  <c r="C34" i="1"/>
  <c r="H33" i="1"/>
  <c r="C33" i="1"/>
  <c r="H32" i="1"/>
  <c r="C32" i="1"/>
  <c r="H31" i="1"/>
  <c r="C31" i="1"/>
  <c r="H30" i="1"/>
  <c r="C30" i="1"/>
  <c r="H29" i="1"/>
  <c r="C29" i="1"/>
  <c r="H28" i="1"/>
  <c r="C28" i="1"/>
  <c r="H27" i="1"/>
  <c r="C27" i="1"/>
  <c r="H26" i="1"/>
  <c r="C26" i="1"/>
  <c r="H25" i="1"/>
  <c r="C25" i="1"/>
  <c r="H24" i="1"/>
  <c r="C24" i="1"/>
  <c r="H23" i="1"/>
  <c r="C23" i="1"/>
  <c r="H22" i="1"/>
  <c r="C22" i="1"/>
  <c r="H21" i="1"/>
  <c r="C21" i="1"/>
  <c r="H20" i="1"/>
  <c r="C20" i="1"/>
  <c r="H19" i="1"/>
  <c r="C19" i="1"/>
  <c r="H18" i="1"/>
  <c r="C18" i="1"/>
  <c r="H17" i="1"/>
  <c r="C17" i="1"/>
  <c r="H16" i="1"/>
  <c r="C16" i="1"/>
  <c r="H15" i="1"/>
  <c r="C15" i="1"/>
  <c r="H14" i="1"/>
  <c r="C14" i="1"/>
  <c r="H13" i="1"/>
  <c r="C13" i="1"/>
  <c r="H12" i="1"/>
  <c r="C12" i="1"/>
  <c r="H11" i="1"/>
  <c r="C11" i="1"/>
  <c r="H10" i="1"/>
  <c r="C10" i="1"/>
  <c r="H9" i="1"/>
  <c r="C9" i="1"/>
  <c r="H8" i="1"/>
  <c r="C8" i="1"/>
  <c r="H7" i="1"/>
  <c r="C7" i="1"/>
  <c r="H6" i="1"/>
  <c r="C6" i="1"/>
  <c r="H5" i="1"/>
  <c r="C5" i="1"/>
  <c r="H4" i="1"/>
  <c r="C4" i="1"/>
  <c r="H3" i="1"/>
  <c r="C3" i="1"/>
  <c r="H2" i="1"/>
  <c r="C2" i="1"/>
  <c r="G2" i="9"/>
  <c r="D2" i="9"/>
  <c r="A2" i="9"/>
  <c r="J2" i="9" s="1"/>
</calcChain>
</file>

<file path=xl/sharedStrings.xml><?xml version="1.0" encoding="utf-8"?>
<sst xmlns="http://schemas.openxmlformats.org/spreadsheetml/2006/main" count="1001" uniqueCount="153">
  <si>
    <t>Order ID</t>
  </si>
  <si>
    <t>Date</t>
  </si>
  <si>
    <t>Month</t>
  </si>
  <si>
    <t>Product</t>
  </si>
  <si>
    <t>Category</t>
  </si>
  <si>
    <t>Quantity</t>
  </si>
  <si>
    <t>Unit Price (SAR)</t>
  </si>
  <si>
    <t>Total (SAR)</t>
  </si>
  <si>
    <t>Payment Method</t>
  </si>
  <si>
    <t>Employee</t>
  </si>
  <si>
    <t>ORD-1001</t>
  </si>
  <si>
    <t>Tissue Box</t>
  </si>
  <si>
    <t>Household</t>
  </si>
  <si>
    <t>Mada</t>
  </si>
  <si>
    <t>Noura</t>
  </si>
  <si>
    <t>ORD-1002</t>
  </si>
  <si>
    <t>Fresh Milk 1L</t>
  </si>
  <si>
    <t>Dairy</t>
  </si>
  <si>
    <t>Cash</t>
  </si>
  <si>
    <t>Khalid</t>
  </si>
  <si>
    <t>ORD-1003</t>
  </si>
  <si>
    <t>Salted Nuts</t>
  </si>
  <si>
    <t>Snacks</t>
  </si>
  <si>
    <t>Credit Card</t>
  </si>
  <si>
    <t>ORD-1004</t>
  </si>
  <si>
    <t>Toast Bread</t>
  </si>
  <si>
    <t>Bakery</t>
  </si>
  <si>
    <t>Ahmed</t>
  </si>
  <si>
    <t>ORD-1005</t>
  </si>
  <si>
    <t>Chocolate Bar</t>
  </si>
  <si>
    <t>ORD-1006</t>
  </si>
  <si>
    <t>Dish Soap</t>
  </si>
  <si>
    <t>ORD-1007</t>
  </si>
  <si>
    <t>Apple Pay</t>
  </si>
  <si>
    <t>ORD-1008</t>
  </si>
  <si>
    <t>Mineral Water 1.5L</t>
  </si>
  <si>
    <t>Beverages</t>
  </si>
  <si>
    <t>Sara</t>
  </si>
  <si>
    <t>ORD-1009</t>
  </si>
  <si>
    <t>ORD-1010</t>
  </si>
  <si>
    <t>Potato Chips</t>
  </si>
  <si>
    <t>ORD-1011</t>
  </si>
  <si>
    <t>ORD-1012</t>
  </si>
  <si>
    <t>Cola 330ml</t>
  </si>
  <si>
    <t>ORD-1013</t>
  </si>
  <si>
    <t>ORD-1014</t>
  </si>
  <si>
    <t>ORD-1015</t>
  </si>
  <si>
    <t>ORD-1016</t>
  </si>
  <si>
    <t>ORD-1017</t>
  </si>
  <si>
    <t>Yogurt 500g</t>
  </si>
  <si>
    <t>ORD-1018</t>
  </si>
  <si>
    <t>ORD-1019</t>
  </si>
  <si>
    <t>Cheese Slices</t>
  </si>
  <si>
    <t>ORD-1020</t>
  </si>
  <si>
    <t>ORD-1021</t>
  </si>
  <si>
    <t>ORD-1022</t>
  </si>
  <si>
    <t>ORD-1023</t>
  </si>
  <si>
    <t>Croissant</t>
  </si>
  <si>
    <t>ORD-1024</t>
  </si>
  <si>
    <t>Orange Juice 1L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</si>
  <si>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</si>
  <si>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</si>
  <si>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</si>
  <si>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</si>
  <si>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</si>
  <si>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</si>
  <si>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</si>
  <si>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</si>
  <si>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</si>
  <si>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</si>
  <si>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</si>
  <si>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</si>
  <si>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</si>
  <si>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</si>
  <si>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</si>
  <si>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</si>
  <si>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</si>
  <si>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</si>
  <si>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</si>
  <si>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</si>
  <si>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</si>
  <si>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</si>
  <si>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</si>
  <si>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</si>
  <si>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</si>
  <si>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</si>
  <si>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</si>
  <si>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</si>
  <si>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</si>
  <si>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</si>
  <si>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</si>
  <si>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</si>
  <si>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</si>
  <si>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</si>
  <si>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</si>
  <si>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</si>
  <si>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</si>
  <si>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</si>
  <si>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</si>
  <si>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</si>
  <si>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</si>
  <si>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</si>
  <si>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</si>
  <si>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</si>
  <si>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</si>
  <si>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</si>
  <si>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</si>
  <si>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</si>
  <si>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</si>
  <si>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</si>
  <si>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</si>
  <si>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</si>
  <si>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</si>
  <si>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</si>
  <si>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</si>
  <si>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</si>
  <si>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</si>
  <si>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</si>
  <si>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</si>
  <si>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</si>
  <si>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</si>
  <si>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</si>
  <si>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</si>
  <si>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</si>
  <si>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</si>
  <si>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</si>
  <si>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Units Sold</t>
  </si>
  <si>
    <t>Total Sales (SAR)</t>
  </si>
  <si>
    <t>Jul 2026</t>
  </si>
  <si>
    <t>Aug 2026</t>
  </si>
  <si>
    <t>Sep 2026</t>
  </si>
  <si>
    <t>Number of Orders</t>
  </si>
  <si>
    <t>Average Order Value (SAR)</t>
  </si>
  <si>
    <t>Row Labels</t>
  </si>
  <si>
    <t>Grand Total</t>
  </si>
  <si>
    <t>Column Labels</t>
  </si>
  <si>
    <t>Months</t>
  </si>
  <si>
    <t>Total Quantity</t>
  </si>
  <si>
    <t>DATE</t>
  </si>
  <si>
    <t>MONTH</t>
  </si>
  <si>
    <t>PRODUCT</t>
  </si>
  <si>
    <t>CATEGORY</t>
  </si>
  <si>
    <t>QUANTITY</t>
  </si>
  <si>
    <t>UNIT PRICE (SAR)</t>
  </si>
  <si>
    <t>TOTAL(SAR)</t>
  </si>
  <si>
    <t>PAYMENT METHOD</t>
  </si>
  <si>
    <t>EMPLOYEE</t>
  </si>
  <si>
    <t>Sum of QUANTITY</t>
  </si>
  <si>
    <t>Product Name</t>
  </si>
  <si>
    <t>Sum of TOTAL(SAR)</t>
  </si>
  <si>
    <t>RANK</t>
  </si>
  <si>
    <t>Employee Names</t>
  </si>
  <si>
    <t>No. of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</si>
</sst>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20"/>
      <color rgb="FF1F3864"/>
      <name val="Arial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indent="1"/>
    </xf>
    <xf numFmtId="4" fontId="0" fillId="0" borderId="0" xfId="0" applyNumberFormat="1"/>
    <xf numFmtId="0" fontId="6" fillId="5" borderId="0" xfId="0" applyFont="1" applyFill="1" applyAlignment="1">
      <alignment horizontal="left"/>
    </xf>
    <xf numFmtId="0" fontId="6" fillId="6" borderId="2" xfId="0" applyFont="1" applyFill="1" applyBorder="1"/>
    <xf numFmtId="0" fontId="6" fillId="5" borderId="0" xfId="0" applyFont="1" applyFill="1"/>
    <xf numFmtId="0" fontId="3" fillId="7" borderId="1" xfId="0" applyFont="1" applyFill="1" applyBorder="1" applyAlignment="1">
      <alignment vertical="center"/>
    </xf>
    <xf numFmtId="0" fontId="0" fillId="5" borderId="0" xfId="0" applyFill="1"/>
    <xf numFmtId="0" fontId="4" fillId="2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[Shop_Project_v2.xlsx]Pivot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Quantity</a:t>
            </a:r>
            <a:r>
              <a:rPr lang="en-GB" baseline="0"/>
              <a:t> per Month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Jul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Tables'!$A$5:$A$18</c:f>
              <c:strCache>
                <c:ptCount val="13"/>
                <c:pt idx="0">
                  <c:v>Cheese Slices</c:v>
                </c:pt>
                <c:pt idx="1">
                  <c:v>Chocolate Bar</c:v>
                </c:pt>
                <c:pt idx="2">
                  <c:v>Cola 330ml</c:v>
                </c:pt>
                <c:pt idx="3">
                  <c:v>Croissant</c:v>
                </c:pt>
                <c:pt idx="4">
                  <c:v>Dish Soap</c:v>
                </c:pt>
                <c:pt idx="5">
                  <c:v>Fresh Milk 1L</c:v>
                </c:pt>
                <c:pt idx="6">
                  <c:v>Mineral Water 1.5L</c:v>
                </c:pt>
                <c:pt idx="7">
                  <c:v>Orange Juice 1L</c:v>
                </c:pt>
                <c:pt idx="8">
                  <c:v>Potato Chips</c:v>
                </c:pt>
                <c:pt idx="9">
                  <c:v>Salted Nuts</c:v>
                </c:pt>
                <c:pt idx="10">
                  <c:v>Tissue Box</c:v>
                </c:pt>
                <c:pt idx="11">
                  <c:v>Toast Bread</c:v>
                </c:pt>
                <c:pt idx="12">
                  <c:v>Yogurt 500g</c:v>
                </c:pt>
              </c:strCache>
            </c:strRef>
          </c:cat>
          <c:val>
            <c:numRef>
              <c:f>'Pivot Tables'!$B$5:$B$18</c:f>
              <c:numCache>
                <c:formatCode>General</c:formatCode>
                <c:ptCount val="13"/>
                <c:pt idx="0">
                  <c:v>3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7</c:v>
                </c:pt>
                <c:pt idx="8">
                  <c:v>14</c:v>
                </c:pt>
                <c:pt idx="9">
                  <c:v>17</c:v>
                </c:pt>
                <c:pt idx="10">
                  <c:v>9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5-4FFB-ACB9-3F108E065338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Aug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Tables'!$A$5:$A$18</c:f>
              <c:strCache>
                <c:ptCount val="13"/>
                <c:pt idx="0">
                  <c:v>Cheese Slices</c:v>
                </c:pt>
                <c:pt idx="1">
                  <c:v>Chocolate Bar</c:v>
                </c:pt>
                <c:pt idx="2">
                  <c:v>Cola 330ml</c:v>
                </c:pt>
                <c:pt idx="3">
                  <c:v>Croissant</c:v>
                </c:pt>
                <c:pt idx="4">
                  <c:v>Dish Soap</c:v>
                </c:pt>
                <c:pt idx="5">
                  <c:v>Fresh Milk 1L</c:v>
                </c:pt>
                <c:pt idx="6">
                  <c:v>Mineral Water 1.5L</c:v>
                </c:pt>
                <c:pt idx="7">
                  <c:v>Orange Juice 1L</c:v>
                </c:pt>
                <c:pt idx="8">
                  <c:v>Potato Chips</c:v>
                </c:pt>
                <c:pt idx="9">
                  <c:v>Salted Nuts</c:v>
                </c:pt>
                <c:pt idx="10">
                  <c:v>Tissue Box</c:v>
                </c:pt>
                <c:pt idx="11">
                  <c:v>Toast Bread</c:v>
                </c:pt>
                <c:pt idx="12">
                  <c:v>Yogurt 500g</c:v>
                </c:pt>
              </c:strCache>
            </c:strRef>
          </c:cat>
          <c:val>
            <c:numRef>
              <c:f>'Pivot Tables'!$C$5:$C$18</c:f>
              <c:numCache>
                <c:formatCode>General</c:formatCode>
                <c:ptCount val="13"/>
                <c:pt idx="0">
                  <c:v>5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5">
                  <c:v>20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10">
                  <c:v>12</c:v>
                </c:pt>
                <c:pt idx="11">
                  <c:v>4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5-4FFB-ACB9-3F108E065338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Sep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Tables'!$A$5:$A$18</c:f>
              <c:strCache>
                <c:ptCount val="13"/>
                <c:pt idx="0">
                  <c:v>Cheese Slices</c:v>
                </c:pt>
                <c:pt idx="1">
                  <c:v>Chocolate Bar</c:v>
                </c:pt>
                <c:pt idx="2">
                  <c:v>Cola 330ml</c:v>
                </c:pt>
                <c:pt idx="3">
                  <c:v>Croissant</c:v>
                </c:pt>
                <c:pt idx="4">
                  <c:v>Dish Soap</c:v>
                </c:pt>
                <c:pt idx="5">
                  <c:v>Fresh Milk 1L</c:v>
                </c:pt>
                <c:pt idx="6">
                  <c:v>Mineral Water 1.5L</c:v>
                </c:pt>
                <c:pt idx="7">
                  <c:v>Orange Juice 1L</c:v>
                </c:pt>
                <c:pt idx="8">
                  <c:v>Potato Chips</c:v>
                </c:pt>
                <c:pt idx="9">
                  <c:v>Salted Nuts</c:v>
                </c:pt>
                <c:pt idx="10">
                  <c:v>Tissue Box</c:v>
                </c:pt>
                <c:pt idx="11">
                  <c:v>Toast Bread</c:v>
                </c:pt>
                <c:pt idx="12">
                  <c:v>Yogurt 500g</c:v>
                </c:pt>
              </c:strCache>
            </c:strRef>
          </c:cat>
          <c:val>
            <c:numRef>
              <c:f>'Pivot Tables'!$D$5:$D$18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8</c:v>
                </c:pt>
                <c:pt idx="3">
                  <c:v>2</c:v>
                </c:pt>
                <c:pt idx="4">
                  <c:v>14</c:v>
                </c:pt>
                <c:pt idx="5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5</c:v>
                </c:pt>
                <c:pt idx="10">
                  <c:v>8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95-4FFB-ACB9-3F108E06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28479"/>
        <c:axId val="1988858256"/>
      </c:barChart>
      <c:catAx>
        <c:axId val="21392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58256"/>
        <c:crosses val="autoZero"/>
        <c:auto val="1"/>
        <c:lblAlgn val="ctr"/>
        <c:lblOffset val="100"/>
        <c:noMultiLvlLbl val="0"/>
      </c:catAx>
      <c:valAx>
        <c:axId val="19888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[Shop_Project_v2.xlsx]Pivot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(SAR)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Tables'!$A$28:$A$46</c:f>
              <c:multiLvlStrCache>
                <c:ptCount val="13"/>
                <c:lvl>
                  <c:pt idx="0">
                    <c:v>Croissant</c:v>
                  </c:pt>
                  <c:pt idx="1">
                    <c:v>Toast Bread</c:v>
                  </c:pt>
                  <c:pt idx="2">
                    <c:v>Cola 330ml</c:v>
                  </c:pt>
                  <c:pt idx="3">
                    <c:v>Mineral Water 1.5L</c:v>
                  </c:pt>
                  <c:pt idx="4">
                    <c:v>Orange Juice 1L</c:v>
                  </c:pt>
                  <c:pt idx="5">
                    <c:v>Cheese Slices</c:v>
                  </c:pt>
                  <c:pt idx="6">
                    <c:v>Fresh Milk 1L</c:v>
                  </c:pt>
                  <c:pt idx="7">
                    <c:v>Yogurt 500g</c:v>
                  </c:pt>
                  <c:pt idx="8">
                    <c:v>Dish Soap</c:v>
                  </c:pt>
                  <c:pt idx="9">
                    <c:v>Tissue Box</c:v>
                  </c:pt>
                  <c:pt idx="10">
                    <c:v>Chocolate Bar</c:v>
                  </c:pt>
                  <c:pt idx="11">
                    <c:v>Potato Chips</c:v>
                  </c:pt>
                  <c:pt idx="12">
                    <c:v>Salted Nuts</c:v>
                  </c:pt>
                </c:lvl>
                <c:lvl>
                  <c:pt idx="0">
                    <c:v>Bakery</c:v>
                  </c:pt>
                  <c:pt idx="2">
                    <c:v>Beverages</c:v>
                  </c:pt>
                  <c:pt idx="5">
                    <c:v>Dairy</c:v>
                  </c:pt>
                  <c:pt idx="8">
                    <c:v>Household</c:v>
                  </c:pt>
                  <c:pt idx="10">
                    <c:v>Snacks</c:v>
                  </c:pt>
                </c:lvl>
              </c:multiLvlStrCache>
            </c:multiLvlStrRef>
          </c:cat>
          <c:val>
            <c:numRef>
              <c:f>'Pivot Tables'!$B$28:$B$46</c:f>
              <c:numCache>
                <c:formatCode>#,##0.00</c:formatCode>
                <c:ptCount val="13"/>
                <c:pt idx="0">
                  <c:v>63</c:v>
                </c:pt>
                <c:pt idx="1">
                  <c:v>49.5</c:v>
                </c:pt>
                <c:pt idx="2">
                  <c:v>96</c:v>
                </c:pt>
                <c:pt idx="3">
                  <c:v>32.5</c:v>
                </c:pt>
                <c:pt idx="4">
                  <c:v>160</c:v>
                </c:pt>
                <c:pt idx="5">
                  <c:v>336</c:v>
                </c:pt>
                <c:pt idx="6">
                  <c:v>266</c:v>
                </c:pt>
                <c:pt idx="7">
                  <c:v>145</c:v>
                </c:pt>
                <c:pt idx="8">
                  <c:v>308</c:v>
                </c:pt>
                <c:pt idx="9">
                  <c:v>261</c:v>
                </c:pt>
                <c:pt idx="10">
                  <c:v>90</c:v>
                </c:pt>
                <c:pt idx="11">
                  <c:v>174</c:v>
                </c:pt>
                <c:pt idx="12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0-4666-9459-27EB0353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4694351"/>
        <c:axId val="1988995056"/>
      </c:barChart>
      <c:catAx>
        <c:axId val="25469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95056"/>
        <c:crosses val="autoZero"/>
        <c:auto val="1"/>
        <c:lblAlgn val="ctr"/>
        <c:lblOffset val="100"/>
        <c:noMultiLvlLbl val="0"/>
      </c:catAx>
      <c:valAx>
        <c:axId val="19889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9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[Shop_Project_v2.xlsx]Pivot Tables!PivotTable6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Tables'!$B$51:$B$52</c:f>
              <c:strCache>
                <c:ptCount val="1"/>
                <c:pt idx="0">
                  <c:v>Cheese Slices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Tables'!$B$53:$B$57</c:f>
              <c:numCache>
                <c:formatCode>General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6-4AA1-95D9-05410BB7CEAD}"/>
            </c:ext>
          </c:extLst>
        </c:ser>
        <c:ser>
          <c:idx val="1"/>
          <c:order val="1"/>
          <c:tx>
            <c:strRef>
              <c:f>'Pivot Tables'!$C$51:$C$52</c:f>
              <c:strCache>
                <c:ptCount val="1"/>
                <c:pt idx="0">
                  <c:v>Chocolate Bar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Tables'!$C$53:$C$57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6-4AA1-95D9-05410BB7CEAD}"/>
            </c:ext>
          </c:extLst>
        </c:ser>
        <c:ser>
          <c:idx val="2"/>
          <c:order val="2"/>
          <c:tx>
            <c:strRef>
              <c:f>'Pivot Tables'!$D$51:$D$52</c:f>
              <c:strCache>
                <c:ptCount val="1"/>
                <c:pt idx="0">
                  <c:v>Cola 330ml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Tables'!$D$53:$D$57</c:f>
              <c:numCache>
                <c:formatCode>General</c:formatCode>
                <c:ptCount val="4"/>
                <c:pt idx="0">
                  <c:v>6</c:v>
                </c:pt>
                <c:pt idx="1">
                  <c:v>13</c:v>
                </c:pt>
                <c:pt idx="2">
                  <c:v>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6-4AA1-95D9-05410BB7CEAD}"/>
            </c:ext>
          </c:extLst>
        </c:ser>
        <c:ser>
          <c:idx val="3"/>
          <c:order val="3"/>
          <c:tx>
            <c:strRef>
              <c:f>'Pivot Tables'!$E$51:$E$52</c:f>
              <c:strCache>
                <c:ptCount val="1"/>
                <c:pt idx="0">
                  <c:v>Croissant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Tables'!$E$53:$E$57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16-4AA1-95D9-05410BB7CEAD}"/>
            </c:ext>
          </c:extLst>
        </c:ser>
        <c:ser>
          <c:idx val="4"/>
          <c:order val="4"/>
          <c:tx>
            <c:strRef>
              <c:f>'Pivot Tables'!$F$51:$F$52</c:f>
              <c:strCache>
                <c:ptCount val="1"/>
                <c:pt idx="0">
                  <c:v>Dish Soap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Tables'!$F$53:$F$57</c:f>
              <c:numCache>
                <c:formatCode>General</c:formatCode>
                <c:ptCount val="4"/>
                <c:pt idx="1">
                  <c:v>5</c:v>
                </c:pt>
                <c:pt idx="2">
                  <c:v>15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16-4AA1-95D9-05410BB7CEAD}"/>
            </c:ext>
          </c:extLst>
        </c:ser>
        <c:ser>
          <c:idx val="5"/>
          <c:order val="5"/>
          <c:tx>
            <c:strRef>
              <c:f>'Pivot Tables'!$G$51:$G$52</c:f>
              <c:strCache>
                <c:ptCount val="1"/>
                <c:pt idx="0">
                  <c:v>Fresh Milk 1L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Tables'!$G$53:$G$57</c:f>
              <c:numCache>
                <c:formatCode>General</c:formatCode>
                <c:ptCount val="4"/>
                <c:pt idx="0">
                  <c:v>11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16-4AA1-95D9-05410BB7CEAD}"/>
            </c:ext>
          </c:extLst>
        </c:ser>
        <c:ser>
          <c:idx val="6"/>
          <c:order val="6"/>
          <c:tx>
            <c:strRef>
              <c:f>'Pivot Tables'!$H$51:$H$52</c:f>
              <c:strCache>
                <c:ptCount val="1"/>
                <c:pt idx="0">
                  <c:v>Mineral Water 1.5L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Tables'!$H$53:$H$57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16-4AA1-95D9-05410BB7CEAD}"/>
            </c:ext>
          </c:extLst>
        </c:ser>
        <c:ser>
          <c:idx val="7"/>
          <c:order val="7"/>
          <c:tx>
            <c:strRef>
              <c:f>'Pivot Tables'!$I$51:$I$52</c:f>
              <c:strCache>
                <c:ptCount val="1"/>
                <c:pt idx="0">
                  <c:v>Orange Juice 1L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Tables'!$I$53:$I$57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16-4AA1-95D9-05410BB7CEAD}"/>
            </c:ext>
          </c:extLst>
        </c:ser>
        <c:ser>
          <c:idx val="8"/>
          <c:order val="8"/>
          <c:tx>
            <c:strRef>
              <c:f>'Pivot Tables'!$J$51:$J$52</c:f>
              <c:strCache>
                <c:ptCount val="1"/>
                <c:pt idx="0">
                  <c:v>Potato Chips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Tables'!$J$53:$J$57</c:f>
              <c:numCache>
                <c:formatCode>General</c:formatCode>
                <c:ptCount val="4"/>
                <c:pt idx="0">
                  <c:v>15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16-4AA1-95D9-05410BB7CEAD}"/>
            </c:ext>
          </c:extLst>
        </c:ser>
        <c:ser>
          <c:idx val="9"/>
          <c:order val="9"/>
          <c:tx>
            <c:strRef>
              <c:f>'Pivot Tables'!$K$51:$K$52</c:f>
              <c:strCache>
                <c:ptCount val="1"/>
                <c:pt idx="0">
                  <c:v>Salted Nuts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Tables'!$K$53:$K$57</c:f>
              <c:numCache>
                <c:formatCode>General</c:formatCode>
                <c:ptCount val="4"/>
                <c:pt idx="0">
                  <c:v>5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16-4AA1-95D9-05410BB7CEAD}"/>
            </c:ext>
          </c:extLst>
        </c:ser>
        <c:ser>
          <c:idx val="10"/>
          <c:order val="10"/>
          <c:tx>
            <c:strRef>
              <c:f>'Pivot Tables'!$L$51:$L$52</c:f>
              <c:strCache>
                <c:ptCount val="1"/>
                <c:pt idx="0">
                  <c:v>Tissue Box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Tables'!$L$53:$L$57</c:f>
              <c:numCache>
                <c:formatCode>General</c:formatCode>
                <c:ptCount val="4"/>
                <c:pt idx="1">
                  <c:v>11</c:v>
                </c:pt>
                <c:pt idx="2">
                  <c:v>15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16-4AA1-95D9-05410BB7CEAD}"/>
            </c:ext>
          </c:extLst>
        </c:ser>
        <c:ser>
          <c:idx val="11"/>
          <c:order val="11"/>
          <c:tx>
            <c:strRef>
              <c:f>'Pivot Tables'!$M$51:$M$52</c:f>
              <c:strCache>
                <c:ptCount val="1"/>
                <c:pt idx="0">
                  <c:v>Toast Bread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Tables'!$M$53:$M$57</c:f>
              <c:numCache>
                <c:formatCode>General</c:formatCode>
                <c:ptCount val="4"/>
                <c:pt idx="0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916-4AA1-95D9-05410BB7CEAD}"/>
            </c:ext>
          </c:extLst>
        </c:ser>
        <c:ser>
          <c:idx val="12"/>
          <c:order val="12"/>
          <c:tx>
            <c:strRef>
              <c:f>'Pivot Tables'!$N$51:$N$52</c:f>
              <c:strCache>
                <c:ptCount val="1"/>
                <c:pt idx="0">
                  <c:v>Yogurt 500g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Tables'!$N$53:$N$57</c:f>
              <c:numCache>
                <c:formatCode>General</c:formatCode>
                <c:ptCount val="4"/>
                <c:pt idx="0">
                  <c:v>2</c:v>
                </c:pt>
                <c:pt idx="1">
                  <c:v>12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16-4AA1-95D9-05410BB7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021439"/>
        <c:axId val="1988872656"/>
      </c:barChart>
      <c:valAx>
        <c:axId val="198887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21439"/>
        <c:crosses val="autoZero"/>
        <c:crossBetween val="between"/>
      </c:valAx>
      <c:catAx>
        <c:axId val="325021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72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36524554291051"/>
          <c:y val="0.16688460121466531"/>
          <c:w val="0.8009604111986001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Tables'!$B$69</c:f>
              <c:strCache>
                <c:ptCount val="1"/>
                <c:pt idx="0">
                  <c:v>No. of Uses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Tables'!$A$70:$A$73</c:f>
              <c:strCache>
                <c:ptCount val="4"/>
                <c:pt idx="0">
                  <c:v>Mada</c:v>
                </c:pt>
                <c:pt idx="1">
                  <c:v>Cash</c:v>
                </c:pt>
                <c:pt idx="2">
                  <c:v>Credit Card</c:v>
                </c:pt>
                <c:pt idx="3">
                  <c:v>Apple Pay</c:v>
                </c:pt>
              </c:strCache>
            </c:strRef>
          </c:cat>
          <c:val>
            <c:numRef>
              <c:f>'Pivot Tables'!$B$70:$B$73</c:f>
              <c:numCache>
                <c:formatCode>General</c:formatCode>
                <c:ptCount val="4"/>
                <c:pt idx="0">
                  <c:v>19</c:v>
                </c:pt>
                <c:pt idx="1">
                  <c:v>24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C-4815-86F2-90403897B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6440031"/>
        <c:axId val="1988847216"/>
      </c:barChart>
      <c:catAx>
        <c:axId val="31644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47216"/>
        <c:crosses val="autoZero"/>
        <c:auto val="1"/>
        <c:lblAlgn val="ctr"/>
        <c:lblOffset val="100"/>
        <c:noMultiLvlLbl val="0"/>
      </c:catAx>
      <c:valAx>
        <c:axId val="198884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4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[Shop_Project_v2.xlsx]Pivot 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Quantity</a:t>
            </a:r>
            <a:r>
              <a:rPr lang="en-GB" baseline="0"/>
              <a:t> per Month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Jul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Tables'!$A$5:$A$18</c:f>
              <c:strCache>
                <c:ptCount val="13"/>
                <c:pt idx="0">
                  <c:v>Cheese Slices</c:v>
                </c:pt>
                <c:pt idx="1">
                  <c:v>Chocolate Bar</c:v>
                </c:pt>
                <c:pt idx="2">
                  <c:v>Cola 330ml</c:v>
                </c:pt>
                <c:pt idx="3">
                  <c:v>Croissant</c:v>
                </c:pt>
                <c:pt idx="4">
                  <c:v>Dish Soap</c:v>
                </c:pt>
                <c:pt idx="5">
                  <c:v>Fresh Milk 1L</c:v>
                </c:pt>
                <c:pt idx="6">
                  <c:v>Mineral Water 1.5L</c:v>
                </c:pt>
                <c:pt idx="7">
                  <c:v>Orange Juice 1L</c:v>
                </c:pt>
                <c:pt idx="8">
                  <c:v>Potato Chips</c:v>
                </c:pt>
                <c:pt idx="9">
                  <c:v>Salted Nuts</c:v>
                </c:pt>
                <c:pt idx="10">
                  <c:v>Tissue Box</c:v>
                </c:pt>
                <c:pt idx="11">
                  <c:v>Toast Bread</c:v>
                </c:pt>
                <c:pt idx="12">
                  <c:v>Yogurt 500g</c:v>
                </c:pt>
              </c:strCache>
            </c:strRef>
          </c:cat>
          <c:val>
            <c:numRef>
              <c:f>'Pivot Tables'!$B$5:$B$18</c:f>
              <c:numCache>
                <c:formatCode>General</c:formatCode>
                <c:ptCount val="13"/>
                <c:pt idx="0">
                  <c:v>3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7</c:v>
                </c:pt>
                <c:pt idx="8">
                  <c:v>14</c:v>
                </c:pt>
                <c:pt idx="9">
                  <c:v>17</c:v>
                </c:pt>
                <c:pt idx="10">
                  <c:v>9</c:v>
                </c:pt>
                <c:pt idx="11">
                  <c:v>5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9-4171-B479-1AEF004D94A6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Aug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Tables'!$A$5:$A$18</c:f>
              <c:strCache>
                <c:ptCount val="13"/>
                <c:pt idx="0">
                  <c:v>Cheese Slices</c:v>
                </c:pt>
                <c:pt idx="1">
                  <c:v>Chocolate Bar</c:v>
                </c:pt>
                <c:pt idx="2">
                  <c:v>Cola 330ml</c:v>
                </c:pt>
                <c:pt idx="3">
                  <c:v>Croissant</c:v>
                </c:pt>
                <c:pt idx="4">
                  <c:v>Dish Soap</c:v>
                </c:pt>
                <c:pt idx="5">
                  <c:v>Fresh Milk 1L</c:v>
                </c:pt>
                <c:pt idx="6">
                  <c:v>Mineral Water 1.5L</c:v>
                </c:pt>
                <c:pt idx="7">
                  <c:v>Orange Juice 1L</c:v>
                </c:pt>
                <c:pt idx="8">
                  <c:v>Potato Chips</c:v>
                </c:pt>
                <c:pt idx="9">
                  <c:v>Salted Nuts</c:v>
                </c:pt>
                <c:pt idx="10">
                  <c:v>Tissue Box</c:v>
                </c:pt>
                <c:pt idx="11">
                  <c:v>Toast Bread</c:v>
                </c:pt>
                <c:pt idx="12">
                  <c:v>Yogurt 500g</c:v>
                </c:pt>
              </c:strCache>
            </c:strRef>
          </c:cat>
          <c:val>
            <c:numRef>
              <c:f>'Pivot Tables'!$C$5:$C$18</c:f>
              <c:numCache>
                <c:formatCode>General</c:formatCode>
                <c:ptCount val="13"/>
                <c:pt idx="0">
                  <c:v>5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5">
                  <c:v>20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10">
                  <c:v>12</c:v>
                </c:pt>
                <c:pt idx="11">
                  <c:v>4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9-4171-B479-1AEF004D94A6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Sep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Tables'!$A$5:$A$18</c:f>
              <c:strCache>
                <c:ptCount val="13"/>
                <c:pt idx="0">
                  <c:v>Cheese Slices</c:v>
                </c:pt>
                <c:pt idx="1">
                  <c:v>Chocolate Bar</c:v>
                </c:pt>
                <c:pt idx="2">
                  <c:v>Cola 330ml</c:v>
                </c:pt>
                <c:pt idx="3">
                  <c:v>Croissant</c:v>
                </c:pt>
                <c:pt idx="4">
                  <c:v>Dish Soap</c:v>
                </c:pt>
                <c:pt idx="5">
                  <c:v>Fresh Milk 1L</c:v>
                </c:pt>
                <c:pt idx="6">
                  <c:v>Mineral Water 1.5L</c:v>
                </c:pt>
                <c:pt idx="7">
                  <c:v>Orange Juice 1L</c:v>
                </c:pt>
                <c:pt idx="8">
                  <c:v>Potato Chips</c:v>
                </c:pt>
                <c:pt idx="9">
                  <c:v>Salted Nuts</c:v>
                </c:pt>
                <c:pt idx="10">
                  <c:v>Tissue Box</c:v>
                </c:pt>
                <c:pt idx="11">
                  <c:v>Toast Bread</c:v>
                </c:pt>
                <c:pt idx="12">
                  <c:v>Yogurt 500g</c:v>
                </c:pt>
              </c:strCache>
            </c:strRef>
          </c:cat>
          <c:val>
            <c:numRef>
              <c:f>'Pivot Tables'!$D$5:$D$18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8</c:v>
                </c:pt>
                <c:pt idx="3">
                  <c:v>2</c:v>
                </c:pt>
                <c:pt idx="4">
                  <c:v>14</c:v>
                </c:pt>
                <c:pt idx="5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5</c:v>
                </c:pt>
                <c:pt idx="10">
                  <c:v>8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9-4171-B479-1AEF004D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28479"/>
        <c:axId val="1988858256"/>
      </c:barChart>
      <c:catAx>
        <c:axId val="21392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58256"/>
        <c:crosses val="autoZero"/>
        <c:auto val="1"/>
        <c:lblAlgn val="ctr"/>
        <c:lblOffset val="100"/>
        <c:noMultiLvlLbl val="0"/>
      </c:catAx>
      <c:valAx>
        <c:axId val="19888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[Shop_Project_v2.xlsx]Pivot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Product (SAR)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Tables'!$A$28:$A$46</c:f>
              <c:multiLvlStrCache>
                <c:ptCount val="13"/>
                <c:lvl>
                  <c:pt idx="0">
                    <c:v>Croissant</c:v>
                  </c:pt>
                  <c:pt idx="1">
                    <c:v>Toast Bread</c:v>
                  </c:pt>
                  <c:pt idx="2">
                    <c:v>Cola 330ml</c:v>
                  </c:pt>
                  <c:pt idx="3">
                    <c:v>Mineral Water 1.5L</c:v>
                  </c:pt>
                  <c:pt idx="4">
                    <c:v>Orange Juice 1L</c:v>
                  </c:pt>
                  <c:pt idx="5">
                    <c:v>Cheese Slices</c:v>
                  </c:pt>
                  <c:pt idx="6">
                    <c:v>Fresh Milk 1L</c:v>
                  </c:pt>
                  <c:pt idx="7">
                    <c:v>Yogurt 500g</c:v>
                  </c:pt>
                  <c:pt idx="8">
                    <c:v>Dish Soap</c:v>
                  </c:pt>
                  <c:pt idx="9">
                    <c:v>Tissue Box</c:v>
                  </c:pt>
                  <c:pt idx="10">
                    <c:v>Chocolate Bar</c:v>
                  </c:pt>
                  <c:pt idx="11">
                    <c:v>Potato Chips</c:v>
                  </c:pt>
                  <c:pt idx="12">
                    <c:v>Salted Nuts</c:v>
                  </c:pt>
                </c:lvl>
                <c:lvl>
                  <c:pt idx="0">
                    <c:v>Bakery</c:v>
                  </c:pt>
                  <c:pt idx="2">
                    <c:v>Beverages</c:v>
                  </c:pt>
                  <c:pt idx="5">
                    <c:v>Dairy</c:v>
                  </c:pt>
                  <c:pt idx="8">
                    <c:v>Household</c:v>
                  </c:pt>
                  <c:pt idx="10">
                    <c:v>Snacks</c:v>
                  </c:pt>
                </c:lvl>
              </c:multiLvlStrCache>
            </c:multiLvlStrRef>
          </c:cat>
          <c:val>
            <c:numRef>
              <c:f>'Pivot Tables'!$B$28:$B$46</c:f>
              <c:numCache>
                <c:formatCode>#,##0.00</c:formatCode>
                <c:ptCount val="13"/>
                <c:pt idx="0">
                  <c:v>63</c:v>
                </c:pt>
                <c:pt idx="1">
                  <c:v>49.5</c:v>
                </c:pt>
                <c:pt idx="2">
                  <c:v>96</c:v>
                </c:pt>
                <c:pt idx="3">
                  <c:v>32.5</c:v>
                </c:pt>
                <c:pt idx="4">
                  <c:v>160</c:v>
                </c:pt>
                <c:pt idx="5">
                  <c:v>336</c:v>
                </c:pt>
                <c:pt idx="6">
                  <c:v>266</c:v>
                </c:pt>
                <c:pt idx="7">
                  <c:v>145</c:v>
                </c:pt>
                <c:pt idx="8">
                  <c:v>308</c:v>
                </c:pt>
                <c:pt idx="9">
                  <c:v>261</c:v>
                </c:pt>
                <c:pt idx="10">
                  <c:v>90</c:v>
                </c:pt>
                <c:pt idx="11">
                  <c:v>174</c:v>
                </c:pt>
                <c:pt idx="12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2-4DE3-96B5-9B861194F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4694351"/>
        <c:axId val="1988995056"/>
      </c:barChart>
      <c:catAx>
        <c:axId val="25469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95056"/>
        <c:crosses val="autoZero"/>
        <c:auto val="1"/>
        <c:lblAlgn val="ctr"/>
        <c:lblOffset val="100"/>
        <c:noMultiLvlLbl val="0"/>
      </c:catAx>
      <c:valAx>
        <c:axId val="19889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9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[Shop_Project_v2.xlsx]Pivot Tables!PivotTable6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Employees</a:t>
            </a:r>
            <a:r>
              <a:rPr lang="en-GB" baseline="0"/>
              <a:t> Sales Quantity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Tables'!$B$51:$B$52</c:f>
              <c:strCache>
                <c:ptCount val="1"/>
                <c:pt idx="0">
                  <c:v>Cheese Slices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Tables'!$B$53:$B$57</c:f>
              <c:numCache>
                <c:formatCode>General</c:formatCode>
                <c:ptCount val="4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3-46FE-90F1-18288FD62CD3}"/>
            </c:ext>
          </c:extLst>
        </c:ser>
        <c:ser>
          <c:idx val="1"/>
          <c:order val="1"/>
          <c:tx>
            <c:strRef>
              <c:f>'Pivot Tables'!$C$51:$C$52</c:f>
              <c:strCache>
                <c:ptCount val="1"/>
                <c:pt idx="0">
                  <c:v>Chocolate Bar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Tables'!$C$53:$C$57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3-46FE-90F1-18288FD62CD3}"/>
            </c:ext>
          </c:extLst>
        </c:ser>
        <c:ser>
          <c:idx val="2"/>
          <c:order val="2"/>
          <c:tx>
            <c:strRef>
              <c:f>'Pivot Tables'!$D$51:$D$52</c:f>
              <c:strCache>
                <c:ptCount val="1"/>
                <c:pt idx="0">
                  <c:v>Cola 330ml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Tables'!$D$53:$D$57</c:f>
              <c:numCache>
                <c:formatCode>General</c:formatCode>
                <c:ptCount val="4"/>
                <c:pt idx="0">
                  <c:v>6</c:v>
                </c:pt>
                <c:pt idx="1">
                  <c:v>13</c:v>
                </c:pt>
                <c:pt idx="2">
                  <c:v>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13-46FE-90F1-18288FD62CD3}"/>
            </c:ext>
          </c:extLst>
        </c:ser>
        <c:ser>
          <c:idx val="3"/>
          <c:order val="3"/>
          <c:tx>
            <c:strRef>
              <c:f>'Pivot Tables'!$E$51:$E$52</c:f>
              <c:strCache>
                <c:ptCount val="1"/>
                <c:pt idx="0">
                  <c:v>Croissant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Tables'!$E$53:$E$57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13-46FE-90F1-18288FD62CD3}"/>
            </c:ext>
          </c:extLst>
        </c:ser>
        <c:ser>
          <c:idx val="4"/>
          <c:order val="4"/>
          <c:tx>
            <c:strRef>
              <c:f>'Pivot Tables'!$F$51:$F$52</c:f>
              <c:strCache>
                <c:ptCount val="1"/>
                <c:pt idx="0">
                  <c:v>Dish Soap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Tables'!$F$53:$F$57</c:f>
              <c:numCache>
                <c:formatCode>General</c:formatCode>
                <c:ptCount val="4"/>
                <c:pt idx="1">
                  <c:v>5</c:v>
                </c:pt>
                <c:pt idx="2">
                  <c:v>15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13-46FE-90F1-18288FD62CD3}"/>
            </c:ext>
          </c:extLst>
        </c:ser>
        <c:ser>
          <c:idx val="5"/>
          <c:order val="5"/>
          <c:tx>
            <c:strRef>
              <c:f>'Pivot Tables'!$G$51:$G$52</c:f>
              <c:strCache>
                <c:ptCount val="1"/>
                <c:pt idx="0">
                  <c:v>Fresh Milk 1L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Tables'!$G$53:$G$57</c:f>
              <c:numCache>
                <c:formatCode>General</c:formatCode>
                <c:ptCount val="4"/>
                <c:pt idx="0">
                  <c:v>11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13-46FE-90F1-18288FD62CD3}"/>
            </c:ext>
          </c:extLst>
        </c:ser>
        <c:ser>
          <c:idx val="6"/>
          <c:order val="6"/>
          <c:tx>
            <c:strRef>
              <c:f>'Pivot Tables'!$H$51:$H$52</c:f>
              <c:strCache>
                <c:ptCount val="1"/>
                <c:pt idx="0">
                  <c:v>Mineral Water 1.5L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Tables'!$H$53:$H$57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13-46FE-90F1-18288FD62CD3}"/>
            </c:ext>
          </c:extLst>
        </c:ser>
        <c:ser>
          <c:idx val="7"/>
          <c:order val="7"/>
          <c:tx>
            <c:strRef>
              <c:f>'Pivot Tables'!$I$51:$I$52</c:f>
              <c:strCache>
                <c:ptCount val="1"/>
                <c:pt idx="0">
                  <c:v>Orange Juice 1L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Tables'!$I$53:$I$57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13-46FE-90F1-18288FD62CD3}"/>
            </c:ext>
          </c:extLst>
        </c:ser>
        <c:ser>
          <c:idx val="8"/>
          <c:order val="8"/>
          <c:tx>
            <c:strRef>
              <c:f>'Pivot Tables'!$J$51:$J$52</c:f>
              <c:strCache>
                <c:ptCount val="1"/>
                <c:pt idx="0">
                  <c:v>Potato Chips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Tables'!$J$53:$J$57</c:f>
              <c:numCache>
                <c:formatCode>General</c:formatCode>
                <c:ptCount val="4"/>
                <c:pt idx="0">
                  <c:v>15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13-46FE-90F1-18288FD62CD3}"/>
            </c:ext>
          </c:extLst>
        </c:ser>
        <c:ser>
          <c:idx val="9"/>
          <c:order val="9"/>
          <c:tx>
            <c:strRef>
              <c:f>'Pivot Tables'!$K$51:$K$52</c:f>
              <c:strCache>
                <c:ptCount val="1"/>
                <c:pt idx="0">
                  <c:v>Salted Nuts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Tables'!$K$53:$K$57</c:f>
              <c:numCache>
                <c:formatCode>General</c:formatCode>
                <c:ptCount val="4"/>
                <c:pt idx="0">
                  <c:v>5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13-46FE-90F1-18288FD62CD3}"/>
            </c:ext>
          </c:extLst>
        </c:ser>
        <c:ser>
          <c:idx val="10"/>
          <c:order val="10"/>
          <c:tx>
            <c:strRef>
              <c:f>'Pivot Tables'!$L$51:$L$52</c:f>
              <c:strCache>
                <c:ptCount val="1"/>
                <c:pt idx="0">
                  <c:v>Tissue Box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Tables'!$L$53:$L$57</c:f>
              <c:numCache>
                <c:formatCode>General</c:formatCode>
                <c:ptCount val="4"/>
                <c:pt idx="1">
                  <c:v>11</c:v>
                </c:pt>
                <c:pt idx="2">
                  <c:v>15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13-46FE-90F1-18288FD62CD3}"/>
            </c:ext>
          </c:extLst>
        </c:ser>
        <c:ser>
          <c:idx val="11"/>
          <c:order val="11"/>
          <c:tx>
            <c:strRef>
              <c:f>'Pivot Tables'!$M$51:$M$52</c:f>
              <c:strCache>
                <c:ptCount val="1"/>
                <c:pt idx="0">
                  <c:v>Toast Bread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Tables'!$M$53:$M$57</c:f>
              <c:numCache>
                <c:formatCode>General</c:formatCode>
                <c:ptCount val="4"/>
                <c:pt idx="0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13-46FE-90F1-18288FD62CD3}"/>
            </c:ext>
          </c:extLst>
        </c:ser>
        <c:ser>
          <c:idx val="12"/>
          <c:order val="12"/>
          <c:tx>
            <c:strRef>
              <c:f>'Pivot Tables'!$N$51:$N$52</c:f>
              <c:strCache>
                <c:ptCount val="1"/>
                <c:pt idx="0">
                  <c:v>Yogurt 500g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Tables'!$A$53:$A$57</c:f>
              <c:strCache>
                <c:ptCount val="4"/>
                <c:pt idx="0">
                  <c:v>Ahmed</c:v>
                </c:pt>
                <c:pt idx="1">
                  <c:v>Khalid</c:v>
                </c:pt>
                <c:pt idx="2">
                  <c:v>Noura</c:v>
                </c:pt>
                <c:pt idx="3">
                  <c:v>Sara</c:v>
                </c:pt>
              </c:strCache>
            </c:strRef>
          </c:cat>
          <c:val>
            <c:numRef>
              <c:f>'Pivot Tables'!$N$53:$N$57</c:f>
              <c:numCache>
                <c:formatCode>General</c:formatCode>
                <c:ptCount val="4"/>
                <c:pt idx="0">
                  <c:v>2</c:v>
                </c:pt>
                <c:pt idx="1">
                  <c:v>12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13-46FE-90F1-18288FD62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021439"/>
        <c:axId val="1988872656"/>
      </c:barChart>
      <c:valAx>
        <c:axId val="198887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21439"/>
        <c:crosses val="autoZero"/>
        <c:crossBetween val="between"/>
      </c:valAx>
      <c:catAx>
        <c:axId val="325021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72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36524554291051"/>
          <c:y val="0.16688460121466531"/>
          <c:w val="0.8009604111986001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Tables'!$B$69</c:f>
              <c:strCache>
                <c:ptCount val="1"/>
                <c:pt idx="0">
                  <c:v>No. of Uses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Tables'!$A$70:$A$73</c:f>
              <c:strCache>
                <c:ptCount val="4"/>
                <c:pt idx="0">
                  <c:v>Mada</c:v>
                </c:pt>
                <c:pt idx="1">
                  <c:v>Cash</c:v>
                </c:pt>
                <c:pt idx="2">
                  <c:v>Credit Card</c:v>
                </c:pt>
                <c:pt idx="3">
                  <c:v>Apple Pay</c:v>
                </c:pt>
              </c:strCache>
            </c:strRef>
          </c:cat>
          <c:val>
            <c:numRef>
              <c:f>'Pivot Tables'!$B$70:$B$73</c:f>
              <c:numCache>
                <c:formatCode>General</c:formatCode>
                <c:ptCount val="4"/>
                <c:pt idx="0">
                  <c:v>19</c:v>
                </c:pt>
                <c:pt idx="1">
                  <c:v>24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4-4081-9AA1-5E2E464A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6440031"/>
        <c:axId val="1988847216"/>
      </c:barChart>
      <c:catAx>
        <c:axId val="31644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47216"/>
        <c:crosses val="autoZero"/>
        <c:auto val="1"/>
        <c:lblAlgn val="ctr"/>
        <c:lblOffset val="100"/>
        <c:noMultiLvlLbl val="0"/>
      </c:catAx>
      <c:valAx>
        <c:axId val="198884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4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2</xdr:row>
      <xdr:rowOff>25400</xdr:rowOff>
    </xdr:from>
    <xdr:to>
      <xdr:col>12</xdr:col>
      <xdr:colOff>406400</xdr:colOff>
      <xdr:row>17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12C8E-AA10-2DD1-274C-613912375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163800</xdr:colOff>
      <xdr:row>26</xdr:row>
      <xdr:rowOff>13853</xdr:rowOff>
    </xdr:from>
    <xdr:to>
      <xdr:col>8</xdr:col>
      <xdr:colOff>390769</xdr:colOff>
      <xdr:row>45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BCCBA-15E6-CAE7-F24F-4E554E494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286830</xdr:colOff>
      <xdr:row>49</xdr:row>
      <xdr:rowOff>124228</xdr:rowOff>
    </xdr:from>
    <xdr:to>
      <xdr:col>20</xdr:col>
      <xdr:colOff>499368</xdr:colOff>
      <xdr:row>64</xdr:row>
      <xdr:rowOff>98533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AE3D5E-EC61-4476-A5BD-776BC937A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148657</xdr:colOff>
      <xdr:row>61</xdr:row>
      <xdr:rowOff>10603</xdr:rowOff>
    </xdr:from>
    <xdr:to>
      <xdr:col>9</xdr:col>
      <xdr:colOff>863620</xdr:colOff>
      <xdr:row>76</xdr:row>
      <xdr:rowOff>49172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D89494-CF25-BC39-06E6-CE781D828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32564</xdr:colOff>
      <xdr:row>3</xdr:row>
      <xdr:rowOff>81411</xdr:rowOff>
    </xdr:from>
    <xdr:to>
      <xdr:col>9</xdr:col>
      <xdr:colOff>73269</xdr:colOff>
      <xdr:row>17</xdr:row>
      <xdr:rowOff>130257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9FC11-76C0-4AA5-B7A1-F1E0B1DAB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16282</xdr:colOff>
      <xdr:row>3</xdr:row>
      <xdr:rowOff>48845</xdr:rowOff>
    </xdr:from>
    <xdr:to>
      <xdr:col>16</xdr:col>
      <xdr:colOff>500914</xdr:colOff>
      <xdr:row>23</xdr:row>
      <xdr:rowOff>68369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641E1-8F3A-4AAB-803E-92AB89D10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40705</xdr:colOff>
      <xdr:row>39</xdr:row>
      <xdr:rowOff>8141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CA7AD5-5DD4-4472-BB74-007561AD8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23</xdr:row>
      <xdr:rowOff>170961</xdr:rowOff>
    </xdr:from>
    <xdr:to>
      <xdr:col>17</xdr:col>
      <xdr:colOff>314424</xdr:colOff>
      <xdr:row>39</xdr:row>
      <xdr:rowOff>71133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122E6A-7C0A-48A1-A605-DCF02F48B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JAIN MUSLEH" refreshedDate="46309.646267824071" createdVersion="8" refreshedVersion="8" minRefreshableVersion="3" recordCount="90" xr:uid="{2D84C6CD-5247-4E1F-9802-73D23E82D251}">
  <cacheSource type="worksheet">
    <worksheetSource ref="A1:J91" sheet="Data_Source"/>
  </cacheSource>
  <cacheFields count="10">
    <cacheField name="Order ID" numFmtId="0">
      <sharedItems/>
    </cacheField>
    <cacheField name="DATE" numFmtId="164">
      <sharedItems containsSemiMixedTypes="0" containsNonDate="0" containsDate="1" containsString="0" minDate="2026-07-05T00:00:00" maxDate="2026-10-01T00:00:00"/>
    </cacheField>
    <cacheField name="MONTH" numFmtId="0">
      <sharedItems count="3">
        <s v="Jul 2026"/>
        <s v="Aug 2026"/>
        <s v="Sep 2026"/>
      </sharedItems>
    </cacheField>
    <cacheField name="PRODUCT" numFmtId="0">
      <sharedItems count="13">
        <s v="Tissue Box"/>
        <s v="Fresh Milk 1L"/>
        <s v="Salted Nuts"/>
        <s v="Toast Bread"/>
        <s v="Chocolate Bar"/>
        <s v="Dish Soap"/>
        <s v="Mineral Water 1.5L"/>
        <s v="Potato Chips"/>
        <s v="Cola 330ml"/>
        <s v="Yogurt 500g"/>
        <s v="Cheese Slices"/>
        <s v="Croissant"/>
        <s v="Orange Juice 1L"/>
      </sharedItems>
    </cacheField>
    <cacheField name="CATEGORY" numFmtId="0">
      <sharedItems count="5">
        <s v="Household"/>
        <s v="Dairy"/>
        <s v="Snacks"/>
        <s v="Bakery"/>
        <s v="Beverages"/>
      </sharedItems>
    </cacheField>
    <cacheField name="QUANTITY" numFmtId="0">
      <sharedItems containsSemiMixedTypes="0" containsString="0" containsNumber="1" containsInteger="1" minValue="1" maxValue="6"/>
    </cacheField>
    <cacheField name="UNIT PRICE (SAR)" numFmtId="4">
      <sharedItems containsSemiMixedTypes="0" containsString="0" containsNumber="1" minValue="2.5" maxValue="14"/>
    </cacheField>
    <cacheField name="TOTAL(SAR)" numFmtId="4">
      <sharedItems containsSemiMixedTypes="0" containsString="0" containsNumber="1" minValue="2.5" maxValue="72"/>
    </cacheField>
    <cacheField name="PAYMENT METHOD" numFmtId="0">
      <sharedItems/>
    </cacheField>
    <cacheField name="EMPLOYEE" numFmtId="0">
      <sharedItems count="4">
        <s v="Noura"/>
        <s v="Khalid"/>
        <s v="Ahmed"/>
        <s v="Sara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ORD-1001"/>
    <d v="2026-07-05T00:00:00"/>
    <x v="0"/>
    <x v="0"/>
    <x v="0"/>
    <n v="3"/>
    <n v="9"/>
    <n v="27"/>
    <s v="Mada"/>
    <x v="0"/>
  </r>
  <r>
    <s v="ORD-1002"/>
    <d v="2026-07-06T00:00:00"/>
    <x v="0"/>
    <x v="1"/>
    <x v="1"/>
    <n v="1"/>
    <n v="7"/>
    <n v="7"/>
    <s v="Cash"/>
    <x v="1"/>
  </r>
  <r>
    <s v="ORD-1003"/>
    <d v="2026-07-07T00:00:00"/>
    <x v="0"/>
    <x v="2"/>
    <x v="2"/>
    <n v="6"/>
    <n v="12"/>
    <n v="72"/>
    <s v="Credit Card"/>
    <x v="0"/>
  </r>
  <r>
    <s v="ORD-1004"/>
    <d v="2026-07-07T00:00:00"/>
    <x v="0"/>
    <x v="3"/>
    <x v="3"/>
    <n v="4"/>
    <n v="5.5"/>
    <n v="22"/>
    <s v="Cash"/>
    <x v="2"/>
  </r>
  <r>
    <s v="ORD-1005"/>
    <d v="2026-07-08T00:00:00"/>
    <x v="0"/>
    <x v="4"/>
    <x v="2"/>
    <n v="4"/>
    <n v="4.5"/>
    <n v="18"/>
    <s v="Cash"/>
    <x v="2"/>
  </r>
  <r>
    <s v="ORD-1006"/>
    <d v="2026-07-08T00:00:00"/>
    <x v="0"/>
    <x v="5"/>
    <x v="0"/>
    <n v="6"/>
    <n v="11"/>
    <n v="66"/>
    <s v="Credit Card"/>
    <x v="0"/>
  </r>
  <r>
    <s v="ORD-1007"/>
    <d v="2026-07-08T00:00:00"/>
    <x v="0"/>
    <x v="4"/>
    <x v="2"/>
    <n v="6"/>
    <n v="4.5"/>
    <n v="27"/>
    <s v="Apple Pay"/>
    <x v="1"/>
  </r>
  <r>
    <s v="ORD-1008"/>
    <d v="2026-07-08T00:00:00"/>
    <x v="0"/>
    <x v="6"/>
    <x v="4"/>
    <n v="4"/>
    <n v="2.5"/>
    <n v="10"/>
    <s v="Credit Card"/>
    <x v="3"/>
  </r>
  <r>
    <s v="ORD-1009"/>
    <d v="2026-07-09T00:00:00"/>
    <x v="0"/>
    <x v="3"/>
    <x v="3"/>
    <n v="1"/>
    <n v="5.5"/>
    <n v="5.5"/>
    <s v="Apple Pay"/>
    <x v="2"/>
  </r>
  <r>
    <s v="ORD-1010"/>
    <d v="2026-07-09T00:00:00"/>
    <x v="0"/>
    <x v="7"/>
    <x v="2"/>
    <n v="3"/>
    <n v="6"/>
    <n v="18"/>
    <s v="Mada"/>
    <x v="3"/>
  </r>
  <r>
    <s v="ORD-1011"/>
    <d v="2026-07-10T00:00:00"/>
    <x v="0"/>
    <x v="1"/>
    <x v="1"/>
    <n v="4"/>
    <n v="7"/>
    <n v="28"/>
    <s v="Apple Pay"/>
    <x v="2"/>
  </r>
  <r>
    <s v="ORD-1012"/>
    <d v="2026-07-10T00:00:00"/>
    <x v="0"/>
    <x v="8"/>
    <x v="4"/>
    <n v="4"/>
    <n v="3"/>
    <n v="12"/>
    <s v="Apple Pay"/>
    <x v="1"/>
  </r>
  <r>
    <s v="ORD-1013"/>
    <d v="2026-07-11T00:00:00"/>
    <x v="0"/>
    <x v="8"/>
    <x v="4"/>
    <n v="4"/>
    <n v="3"/>
    <n v="12"/>
    <s v="Credit Card"/>
    <x v="0"/>
  </r>
  <r>
    <s v="ORD-1014"/>
    <d v="2026-07-12T00:00:00"/>
    <x v="0"/>
    <x v="2"/>
    <x v="2"/>
    <n v="6"/>
    <n v="12"/>
    <n v="72"/>
    <s v="Apple Pay"/>
    <x v="3"/>
  </r>
  <r>
    <s v="ORD-1015"/>
    <d v="2026-07-12T00:00:00"/>
    <x v="0"/>
    <x v="8"/>
    <x v="4"/>
    <n v="1"/>
    <n v="3"/>
    <n v="3"/>
    <s v="Mada"/>
    <x v="3"/>
  </r>
  <r>
    <s v="ORD-1016"/>
    <d v="2026-07-13T00:00:00"/>
    <x v="0"/>
    <x v="7"/>
    <x v="2"/>
    <n v="6"/>
    <n v="6"/>
    <n v="36"/>
    <s v="Mada"/>
    <x v="2"/>
  </r>
  <r>
    <s v="ORD-1017"/>
    <d v="2026-07-13T00:00:00"/>
    <x v="0"/>
    <x v="9"/>
    <x v="1"/>
    <n v="5"/>
    <n v="5"/>
    <n v="25"/>
    <s v="Mada"/>
    <x v="1"/>
  </r>
  <r>
    <s v="ORD-1018"/>
    <d v="2026-07-14T00:00:00"/>
    <x v="0"/>
    <x v="4"/>
    <x v="2"/>
    <n v="1"/>
    <n v="4.5"/>
    <n v="4.5"/>
    <s v="Mada"/>
    <x v="0"/>
  </r>
  <r>
    <s v="ORD-1019"/>
    <d v="2026-07-16T00:00:00"/>
    <x v="0"/>
    <x v="10"/>
    <x v="1"/>
    <n v="3"/>
    <n v="14"/>
    <n v="42"/>
    <s v="Credit Card"/>
    <x v="3"/>
  </r>
  <r>
    <s v="ORD-1020"/>
    <d v="2026-07-16T00:00:00"/>
    <x v="0"/>
    <x v="5"/>
    <x v="0"/>
    <n v="5"/>
    <n v="11"/>
    <n v="55"/>
    <s v="Cash"/>
    <x v="0"/>
  </r>
  <r>
    <s v="ORD-1021"/>
    <d v="2026-07-16T00:00:00"/>
    <x v="0"/>
    <x v="0"/>
    <x v="0"/>
    <n v="6"/>
    <n v="9"/>
    <n v="54"/>
    <s v="Apple Pay"/>
    <x v="0"/>
  </r>
  <r>
    <s v="ORD-1022"/>
    <d v="2026-07-18T00:00:00"/>
    <x v="0"/>
    <x v="1"/>
    <x v="1"/>
    <n v="4"/>
    <n v="7"/>
    <n v="28"/>
    <s v="Cash"/>
    <x v="0"/>
  </r>
  <r>
    <s v="ORD-1023"/>
    <d v="2026-07-19T00:00:00"/>
    <x v="0"/>
    <x v="11"/>
    <x v="3"/>
    <n v="4"/>
    <n v="3.5"/>
    <n v="14"/>
    <s v="Cash"/>
    <x v="3"/>
  </r>
  <r>
    <s v="ORD-1024"/>
    <d v="2026-07-20T00:00:00"/>
    <x v="0"/>
    <x v="12"/>
    <x v="4"/>
    <n v="2"/>
    <n v="8"/>
    <n v="16"/>
    <s v="Apple Pay"/>
    <x v="3"/>
  </r>
  <r>
    <s v="ORD-1025"/>
    <d v="2026-07-22T00:00:00"/>
    <x v="0"/>
    <x v="12"/>
    <x v="4"/>
    <n v="3"/>
    <n v="8"/>
    <n v="24"/>
    <s v="Cash"/>
    <x v="2"/>
  </r>
  <r>
    <s v="ORD-1026"/>
    <d v="2026-07-24T00:00:00"/>
    <x v="0"/>
    <x v="6"/>
    <x v="4"/>
    <n v="5"/>
    <n v="2.5"/>
    <n v="12.5"/>
    <s v="Mada"/>
    <x v="2"/>
  </r>
  <r>
    <s v="ORD-1027"/>
    <d v="2026-07-24T00:00:00"/>
    <x v="0"/>
    <x v="2"/>
    <x v="2"/>
    <n v="5"/>
    <n v="12"/>
    <n v="60"/>
    <s v="Cash"/>
    <x v="2"/>
  </r>
  <r>
    <s v="ORD-1028"/>
    <d v="2026-07-25T00:00:00"/>
    <x v="0"/>
    <x v="7"/>
    <x v="2"/>
    <n v="5"/>
    <n v="6"/>
    <n v="30"/>
    <s v="Apple Pay"/>
    <x v="3"/>
  </r>
  <r>
    <s v="ORD-1029"/>
    <d v="2026-07-27T00:00:00"/>
    <x v="0"/>
    <x v="11"/>
    <x v="3"/>
    <n v="3"/>
    <n v="3.5"/>
    <n v="10.5"/>
    <s v="Credit Card"/>
    <x v="1"/>
  </r>
  <r>
    <s v="ORD-1030"/>
    <d v="2026-07-28T00:00:00"/>
    <x v="0"/>
    <x v="9"/>
    <x v="1"/>
    <n v="1"/>
    <n v="5"/>
    <n v="5"/>
    <s v="Cash"/>
    <x v="0"/>
  </r>
  <r>
    <s v="ORD-1031"/>
    <d v="2026-07-29T00:00:00"/>
    <x v="0"/>
    <x v="9"/>
    <x v="1"/>
    <n v="4"/>
    <n v="5"/>
    <n v="20"/>
    <s v="Apple Pay"/>
    <x v="1"/>
  </r>
  <r>
    <s v="ORD-1032"/>
    <d v="2026-07-29T00:00:00"/>
    <x v="0"/>
    <x v="12"/>
    <x v="4"/>
    <n v="2"/>
    <n v="8"/>
    <n v="16"/>
    <s v="Cash"/>
    <x v="1"/>
  </r>
  <r>
    <s v="ORD-1033"/>
    <d v="2026-07-31T00:00:00"/>
    <x v="0"/>
    <x v="5"/>
    <x v="0"/>
    <n v="3"/>
    <n v="11"/>
    <n v="33"/>
    <s v="Apple Pay"/>
    <x v="3"/>
  </r>
  <r>
    <s v="ORD-1034"/>
    <d v="2026-08-01T00:00:00"/>
    <x v="1"/>
    <x v="10"/>
    <x v="1"/>
    <n v="1"/>
    <n v="14"/>
    <n v="14"/>
    <s v="Mada"/>
    <x v="1"/>
  </r>
  <r>
    <s v="ORD-1035"/>
    <d v="2026-08-01T00:00:00"/>
    <x v="1"/>
    <x v="8"/>
    <x v="4"/>
    <n v="6"/>
    <n v="3"/>
    <n v="18"/>
    <s v="Cash"/>
    <x v="1"/>
  </r>
  <r>
    <s v="ORD-1036"/>
    <d v="2026-08-06T00:00:00"/>
    <x v="1"/>
    <x v="11"/>
    <x v="3"/>
    <n v="1"/>
    <n v="3.5"/>
    <n v="3.5"/>
    <s v="Credit Card"/>
    <x v="1"/>
  </r>
  <r>
    <s v="ORD-1037"/>
    <d v="2026-08-07T00:00:00"/>
    <x v="1"/>
    <x v="8"/>
    <x v="4"/>
    <n v="3"/>
    <n v="3"/>
    <n v="9"/>
    <s v="Mada"/>
    <x v="1"/>
  </r>
  <r>
    <s v="ORD-1038"/>
    <d v="2026-08-08T00:00:00"/>
    <x v="1"/>
    <x v="11"/>
    <x v="3"/>
    <n v="2"/>
    <n v="3.5"/>
    <n v="7"/>
    <s v="Mada"/>
    <x v="3"/>
  </r>
  <r>
    <s v="ORD-1039"/>
    <d v="2026-08-08T00:00:00"/>
    <x v="1"/>
    <x v="1"/>
    <x v="1"/>
    <n v="6"/>
    <n v="7"/>
    <n v="42"/>
    <s v="Mada"/>
    <x v="3"/>
  </r>
  <r>
    <s v="ORD-1040"/>
    <d v="2026-08-09T00:00:00"/>
    <x v="1"/>
    <x v="10"/>
    <x v="1"/>
    <n v="4"/>
    <n v="14"/>
    <n v="56"/>
    <s v="Credit Card"/>
    <x v="2"/>
  </r>
  <r>
    <s v="ORD-1041"/>
    <d v="2026-08-10T00:00:00"/>
    <x v="1"/>
    <x v="6"/>
    <x v="4"/>
    <n v="3"/>
    <n v="2.5"/>
    <n v="7.5"/>
    <s v="Apple Pay"/>
    <x v="1"/>
  </r>
  <r>
    <s v="ORD-1042"/>
    <d v="2026-08-11T00:00:00"/>
    <x v="1"/>
    <x v="7"/>
    <x v="2"/>
    <n v="6"/>
    <n v="6"/>
    <n v="36"/>
    <s v="Credit Card"/>
    <x v="0"/>
  </r>
  <r>
    <s v="ORD-1043"/>
    <d v="2026-08-13T00:00:00"/>
    <x v="1"/>
    <x v="0"/>
    <x v="0"/>
    <n v="6"/>
    <n v="9"/>
    <n v="54"/>
    <s v="Credit Card"/>
    <x v="1"/>
  </r>
  <r>
    <s v="ORD-1044"/>
    <d v="2026-08-16T00:00:00"/>
    <x v="1"/>
    <x v="12"/>
    <x v="4"/>
    <n v="2"/>
    <n v="8"/>
    <n v="16"/>
    <s v="Cash"/>
    <x v="3"/>
  </r>
  <r>
    <s v="ORD-1045"/>
    <d v="2026-08-16T00:00:00"/>
    <x v="1"/>
    <x v="9"/>
    <x v="1"/>
    <n v="2"/>
    <n v="5"/>
    <n v="10"/>
    <s v="Credit Card"/>
    <x v="3"/>
  </r>
  <r>
    <s v="ORD-1046"/>
    <d v="2026-08-17T00:00:00"/>
    <x v="1"/>
    <x v="9"/>
    <x v="1"/>
    <n v="5"/>
    <n v="5"/>
    <n v="25"/>
    <s v="Cash"/>
    <x v="0"/>
  </r>
  <r>
    <s v="ORD-1047"/>
    <d v="2026-08-20T00:00:00"/>
    <x v="1"/>
    <x v="11"/>
    <x v="3"/>
    <n v="3"/>
    <n v="3.5"/>
    <n v="10.5"/>
    <s v="Cash"/>
    <x v="2"/>
  </r>
  <r>
    <s v="ORD-1048"/>
    <d v="2026-08-20T00:00:00"/>
    <x v="1"/>
    <x v="1"/>
    <x v="1"/>
    <n v="6"/>
    <n v="7"/>
    <n v="42"/>
    <s v="Mada"/>
    <x v="0"/>
  </r>
  <r>
    <s v="ORD-1049"/>
    <d v="2026-08-23T00:00:00"/>
    <x v="1"/>
    <x v="8"/>
    <x v="4"/>
    <n v="4"/>
    <n v="3"/>
    <n v="12"/>
    <s v="Credit Card"/>
    <x v="2"/>
  </r>
  <r>
    <s v="ORD-1050"/>
    <d v="2026-08-23T00:00:00"/>
    <x v="1"/>
    <x v="0"/>
    <x v="0"/>
    <n v="6"/>
    <n v="9"/>
    <n v="54"/>
    <s v="Apple Pay"/>
    <x v="0"/>
  </r>
  <r>
    <s v="ORD-1051"/>
    <d v="2026-08-23T00:00:00"/>
    <x v="1"/>
    <x v="1"/>
    <x v="1"/>
    <n v="6"/>
    <n v="7"/>
    <n v="42"/>
    <s v="Cash"/>
    <x v="3"/>
  </r>
  <r>
    <s v="ORD-1052"/>
    <d v="2026-08-24T00:00:00"/>
    <x v="1"/>
    <x v="8"/>
    <x v="4"/>
    <n v="2"/>
    <n v="3"/>
    <n v="6"/>
    <s v="Cash"/>
    <x v="3"/>
  </r>
  <r>
    <s v="ORD-1053"/>
    <d v="2026-08-24T00:00:00"/>
    <x v="1"/>
    <x v="3"/>
    <x v="3"/>
    <n v="4"/>
    <n v="5.5"/>
    <n v="22"/>
    <s v="Mada"/>
    <x v="0"/>
  </r>
  <r>
    <s v="ORD-1054"/>
    <d v="2026-08-25T00:00:00"/>
    <x v="1"/>
    <x v="11"/>
    <x v="3"/>
    <n v="3"/>
    <n v="3.5"/>
    <n v="10.5"/>
    <s v="Mada"/>
    <x v="3"/>
  </r>
  <r>
    <s v="ORD-1055"/>
    <d v="2026-08-27T00:00:00"/>
    <x v="1"/>
    <x v="6"/>
    <x v="4"/>
    <n v="1"/>
    <n v="2.5"/>
    <n v="2.5"/>
    <s v="Cash"/>
    <x v="3"/>
  </r>
  <r>
    <s v="ORD-1056"/>
    <d v="2026-08-28T00:00:00"/>
    <x v="1"/>
    <x v="1"/>
    <x v="1"/>
    <n v="2"/>
    <n v="7"/>
    <n v="14"/>
    <s v="Mada"/>
    <x v="2"/>
  </r>
  <r>
    <s v="ORD-1057"/>
    <d v="2026-08-29T00:00:00"/>
    <x v="1"/>
    <x v="4"/>
    <x v="2"/>
    <n v="2"/>
    <n v="4.5"/>
    <n v="9"/>
    <s v="Credit Card"/>
    <x v="3"/>
  </r>
  <r>
    <s v="ORD-1058"/>
    <d v="2026-09-02T00:00:00"/>
    <x v="2"/>
    <x v="0"/>
    <x v="0"/>
    <n v="5"/>
    <n v="9"/>
    <n v="45"/>
    <s v="Credit Card"/>
    <x v="1"/>
  </r>
  <r>
    <s v="ORD-1059"/>
    <d v="2026-09-02T00:00:00"/>
    <x v="2"/>
    <x v="10"/>
    <x v="1"/>
    <n v="4"/>
    <n v="14"/>
    <n v="56"/>
    <s v="Mada"/>
    <x v="2"/>
  </r>
  <r>
    <s v="ORD-1060"/>
    <d v="2026-09-03T00:00:00"/>
    <x v="2"/>
    <x v="5"/>
    <x v="0"/>
    <n v="3"/>
    <n v="11"/>
    <n v="33"/>
    <s v="Apple Pay"/>
    <x v="0"/>
  </r>
  <r>
    <s v="ORD-1061"/>
    <d v="2026-09-04T00:00:00"/>
    <x v="2"/>
    <x v="10"/>
    <x v="1"/>
    <n v="2"/>
    <n v="14"/>
    <n v="28"/>
    <s v="Mada"/>
    <x v="2"/>
  </r>
  <r>
    <s v="ORD-1062"/>
    <d v="2026-09-06T00:00:00"/>
    <x v="2"/>
    <x v="9"/>
    <x v="1"/>
    <n v="2"/>
    <n v="5"/>
    <n v="10"/>
    <s v="Cash"/>
    <x v="3"/>
  </r>
  <r>
    <s v="ORD-1063"/>
    <d v="2026-09-07T00:00:00"/>
    <x v="2"/>
    <x v="8"/>
    <x v="4"/>
    <n v="2"/>
    <n v="3"/>
    <n v="6"/>
    <s v="Apple Pay"/>
    <x v="2"/>
  </r>
  <r>
    <s v="ORD-1064"/>
    <d v="2026-09-07T00:00:00"/>
    <x v="2"/>
    <x v="10"/>
    <x v="1"/>
    <n v="1"/>
    <n v="14"/>
    <n v="14"/>
    <s v="Credit Card"/>
    <x v="0"/>
  </r>
  <r>
    <s v="ORD-1065"/>
    <d v="2026-09-08T00:00:00"/>
    <x v="2"/>
    <x v="0"/>
    <x v="0"/>
    <n v="1"/>
    <n v="9"/>
    <n v="9"/>
    <s v="Cash"/>
    <x v="3"/>
  </r>
  <r>
    <s v="ORD-1066"/>
    <d v="2026-09-09T00:00:00"/>
    <x v="2"/>
    <x v="7"/>
    <x v="2"/>
    <n v="3"/>
    <n v="6"/>
    <n v="18"/>
    <s v="Cash"/>
    <x v="2"/>
  </r>
  <r>
    <s v="ORD-1067"/>
    <d v="2026-09-09T00:00:00"/>
    <x v="2"/>
    <x v="10"/>
    <x v="1"/>
    <n v="4"/>
    <n v="14"/>
    <n v="56"/>
    <s v="Cash"/>
    <x v="2"/>
  </r>
  <r>
    <s v="ORD-1068"/>
    <d v="2026-09-10T00:00:00"/>
    <x v="2"/>
    <x v="9"/>
    <x v="1"/>
    <n v="3"/>
    <n v="5"/>
    <n v="15"/>
    <s v="Mada"/>
    <x v="1"/>
  </r>
  <r>
    <s v="ORD-1069"/>
    <d v="2026-09-10T00:00:00"/>
    <x v="2"/>
    <x v="9"/>
    <x v="1"/>
    <n v="5"/>
    <n v="5"/>
    <n v="25"/>
    <s v="Apple Pay"/>
    <x v="3"/>
  </r>
  <r>
    <s v="ORD-1070"/>
    <d v="2026-09-11T00:00:00"/>
    <x v="2"/>
    <x v="5"/>
    <x v="0"/>
    <n v="5"/>
    <n v="11"/>
    <n v="55"/>
    <s v="Credit Card"/>
    <x v="3"/>
  </r>
  <r>
    <s v="ORD-1071"/>
    <d v="2026-09-11T00:00:00"/>
    <x v="2"/>
    <x v="9"/>
    <x v="1"/>
    <n v="2"/>
    <n v="5"/>
    <n v="10"/>
    <s v="Apple Pay"/>
    <x v="2"/>
  </r>
  <r>
    <s v="ORD-1072"/>
    <d v="2026-09-12T00:00:00"/>
    <x v="2"/>
    <x v="1"/>
    <x v="1"/>
    <n v="4"/>
    <n v="7"/>
    <n v="28"/>
    <s v="Credit Card"/>
    <x v="2"/>
  </r>
  <r>
    <s v="ORD-1073"/>
    <d v="2026-09-12T00:00:00"/>
    <x v="2"/>
    <x v="11"/>
    <x v="3"/>
    <n v="2"/>
    <n v="3.5"/>
    <n v="7"/>
    <s v="Apple Pay"/>
    <x v="2"/>
  </r>
  <r>
    <s v="ORD-1074"/>
    <d v="2026-09-12T00:00:00"/>
    <x v="2"/>
    <x v="7"/>
    <x v="2"/>
    <n v="6"/>
    <n v="6"/>
    <n v="36"/>
    <s v="Credit Card"/>
    <x v="2"/>
  </r>
  <r>
    <s v="ORD-1075"/>
    <d v="2026-09-12T00:00:00"/>
    <x v="2"/>
    <x v="0"/>
    <x v="0"/>
    <n v="2"/>
    <n v="9"/>
    <n v="18"/>
    <s v="Credit Card"/>
    <x v="3"/>
  </r>
  <r>
    <s v="ORD-1076"/>
    <d v="2026-09-13T00:00:00"/>
    <x v="2"/>
    <x v="4"/>
    <x v="2"/>
    <n v="2"/>
    <n v="4.5"/>
    <n v="9"/>
    <s v="Apple Pay"/>
    <x v="3"/>
  </r>
  <r>
    <s v="ORD-1077"/>
    <d v="2026-09-13T00:00:00"/>
    <x v="2"/>
    <x v="5"/>
    <x v="0"/>
    <n v="1"/>
    <n v="11"/>
    <n v="11"/>
    <s v="Apple Pay"/>
    <x v="0"/>
  </r>
  <r>
    <s v="ORD-1078"/>
    <d v="2026-09-13T00:00:00"/>
    <x v="2"/>
    <x v="8"/>
    <x v="4"/>
    <n v="6"/>
    <n v="3"/>
    <n v="18"/>
    <s v="Mada"/>
    <x v="3"/>
  </r>
  <r>
    <s v="ORD-1079"/>
    <d v="2026-09-13T00:00:00"/>
    <x v="2"/>
    <x v="5"/>
    <x v="0"/>
    <n v="4"/>
    <n v="11"/>
    <n v="44"/>
    <s v="Apple Pay"/>
    <x v="1"/>
  </r>
  <r>
    <s v="ORD-1080"/>
    <d v="2026-09-13T00:00:00"/>
    <x v="2"/>
    <x v="1"/>
    <x v="1"/>
    <n v="2"/>
    <n v="7"/>
    <n v="14"/>
    <s v="Credit Card"/>
    <x v="1"/>
  </r>
  <r>
    <s v="ORD-1081"/>
    <d v="2026-09-16T00:00:00"/>
    <x v="2"/>
    <x v="12"/>
    <x v="4"/>
    <n v="6"/>
    <n v="8"/>
    <n v="48"/>
    <s v="Credit Card"/>
    <x v="2"/>
  </r>
  <r>
    <s v="ORD-1082"/>
    <d v="2026-09-18T00:00:00"/>
    <x v="2"/>
    <x v="2"/>
    <x v="2"/>
    <n v="5"/>
    <n v="12"/>
    <n v="60"/>
    <s v="Apple Pay"/>
    <x v="0"/>
  </r>
  <r>
    <s v="ORD-1083"/>
    <d v="2026-09-19T00:00:00"/>
    <x v="2"/>
    <x v="5"/>
    <x v="0"/>
    <n v="1"/>
    <n v="11"/>
    <n v="11"/>
    <s v="Apple Pay"/>
    <x v="1"/>
  </r>
  <r>
    <s v="ORD-1084"/>
    <d v="2026-09-19T00:00:00"/>
    <x v="2"/>
    <x v="10"/>
    <x v="1"/>
    <n v="5"/>
    <n v="14"/>
    <n v="70"/>
    <s v="Credit Card"/>
    <x v="2"/>
  </r>
  <r>
    <s v="ORD-1085"/>
    <d v="2026-09-20T00:00:00"/>
    <x v="2"/>
    <x v="12"/>
    <x v="4"/>
    <n v="2"/>
    <n v="8"/>
    <n v="16"/>
    <s v="Cash"/>
    <x v="2"/>
  </r>
  <r>
    <s v="ORD-1086"/>
    <d v="2026-09-22T00:00:00"/>
    <x v="2"/>
    <x v="4"/>
    <x v="2"/>
    <n v="3"/>
    <n v="4.5"/>
    <n v="13.5"/>
    <s v="Cash"/>
    <x v="3"/>
  </r>
  <r>
    <s v="ORD-1087"/>
    <d v="2026-09-26T00:00:00"/>
    <x v="2"/>
    <x v="4"/>
    <x v="2"/>
    <n v="2"/>
    <n v="4.5"/>
    <n v="9"/>
    <s v="Apple Pay"/>
    <x v="1"/>
  </r>
  <r>
    <s v="ORD-1088"/>
    <d v="2026-09-26T00:00:00"/>
    <x v="2"/>
    <x v="1"/>
    <x v="1"/>
    <n v="2"/>
    <n v="7"/>
    <n v="14"/>
    <s v="Apple Pay"/>
    <x v="1"/>
  </r>
  <r>
    <s v="ORD-1089"/>
    <d v="2026-09-28T00:00:00"/>
    <x v="2"/>
    <x v="12"/>
    <x v="4"/>
    <n v="3"/>
    <n v="8"/>
    <n v="24"/>
    <s v="Cash"/>
    <x v="3"/>
  </r>
  <r>
    <s v="ORD-1090"/>
    <d v="2026-09-30T00:00:00"/>
    <x v="2"/>
    <x v="1"/>
    <x v="1"/>
    <n v="1"/>
    <n v="7"/>
    <n v="7"/>
    <s v="Credit Car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A7755-0924-471F-8525-1328472FE9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7:B46" firstHeaderRow="1" firstDataRow="1" firstDataCol="1"/>
  <pivotFields count="10">
    <pivotField showAll="0"/>
    <pivotField numFmtId="164" showAll="0"/>
    <pivotField showAll="0"/>
    <pivotField axis="axisRow" showAll="0">
      <items count="14">
        <item x="10"/>
        <item x="4"/>
        <item x="8"/>
        <item x="11"/>
        <item x="5"/>
        <item x="1"/>
        <item x="6"/>
        <item x="12"/>
        <item x="7"/>
        <item x="2"/>
        <item x="0"/>
        <item x="3"/>
        <item x="9"/>
        <item t="default"/>
      </items>
    </pivotField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numFmtId="4" showAll="0"/>
    <pivotField dataField="1" numFmtId="4" showAll="0"/>
    <pivotField showAll="0"/>
    <pivotField showAll="0"/>
  </pivotFields>
  <rowFields count="2">
    <field x="4"/>
    <field x="3"/>
  </rowFields>
  <rowItems count="19">
    <i>
      <x/>
    </i>
    <i r="1">
      <x v="3"/>
    </i>
    <i r="1">
      <x v="11"/>
    </i>
    <i>
      <x v="1"/>
    </i>
    <i r="1">
      <x v="2"/>
    </i>
    <i r="1">
      <x v="6"/>
    </i>
    <i r="1">
      <x v="7"/>
    </i>
    <i>
      <x v="2"/>
    </i>
    <i r="1">
      <x/>
    </i>
    <i r="1">
      <x v="5"/>
    </i>
    <i r="1">
      <x v="12"/>
    </i>
    <i>
      <x v="3"/>
    </i>
    <i r="1">
      <x v="4"/>
    </i>
    <i r="1">
      <x v="10"/>
    </i>
    <i>
      <x v="4"/>
    </i>
    <i r="1">
      <x v="1"/>
    </i>
    <i r="1">
      <x v="8"/>
    </i>
    <i r="1">
      <x v="9"/>
    </i>
    <i t="grand">
      <x/>
    </i>
  </rowItems>
  <colItems count="1">
    <i/>
  </colItems>
  <dataFields count="1">
    <dataField name="Sum of TOTAL(SAR)" fld="7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28110-898A-4045-8DE2-5326560127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 Name" colHeaderCaption="Months">
  <location ref="A3:E18" firstHeaderRow="1" firstDataRow="2" firstDataCol="1"/>
  <pivotFields count="10">
    <pivotField showAll="0"/>
    <pivotField numFmtId="164" showAll="0"/>
    <pivotField axis="axisCol" showAll="0">
      <items count="4">
        <item x="0"/>
        <item x="1"/>
        <item x="2"/>
        <item t="default"/>
      </items>
    </pivotField>
    <pivotField axis="axisRow" showAll="0">
      <items count="14">
        <item x="10"/>
        <item x="4"/>
        <item x="8"/>
        <item x="11"/>
        <item x="5"/>
        <item x="1"/>
        <item x="6"/>
        <item x="12"/>
        <item x="7"/>
        <item x="2"/>
        <item x="0"/>
        <item x="3"/>
        <item x="9"/>
        <item t="default"/>
      </items>
    </pivotField>
    <pivotField showAll="0"/>
    <pivotField dataField="1" showAll="0"/>
    <pivotField numFmtId="4" showAll="0"/>
    <pivotField numFmtId="4"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otal Quantity" fld="5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A8D49-34E4-46CD-A7F4-6713A984182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51:O57" firstHeaderRow="1" firstDataRow="2" firstDataCol="1"/>
  <pivotFields count="10">
    <pivotField showAll="0"/>
    <pivotField numFmtId="164" showAll="0"/>
    <pivotField showAll="0"/>
    <pivotField axis="axisCol" showAll="0">
      <items count="14">
        <item x="10"/>
        <item x="4"/>
        <item x="8"/>
        <item x="11"/>
        <item x="5"/>
        <item x="1"/>
        <item x="6"/>
        <item x="12"/>
        <item x="7"/>
        <item x="2"/>
        <item x="0"/>
        <item x="3"/>
        <item x="9"/>
        <item t="default"/>
      </items>
    </pivotField>
    <pivotField showAll="0"/>
    <pivotField dataField="1" showAll="0"/>
    <pivotField numFmtId="4" showAll="0"/>
    <pivotField numFmtId="4"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QUANTITY" fld="5" baseField="0" baseItem="0"/>
  </dataFields>
  <chartFormats count="2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91" totalsRowShown="0">
  <autoFilter ref="A1:J91" xr:uid="{00000000-0009-0000-0100-000001000000}"/>
  <tableColumns count="10">
    <tableColumn id="1" xr3:uid="{00000000-0010-0000-0000-000001000000}" name="Order ID"/>
    <tableColumn id="2" xr3:uid="{00000000-0010-0000-0000-000002000000}" name="Date"/>
    <tableColumn id="3" xr3:uid="{00000000-0010-0000-0000-000003000000}" name="Month"/>
    <tableColumn id="4" xr3:uid="{00000000-0010-0000-0000-000004000000}" name="Product"/>
    <tableColumn id="5" xr3:uid="{00000000-0010-0000-0000-000005000000}" name="Category"/>
    <tableColumn id="6" xr3:uid="{00000000-0010-0000-0000-000006000000}" name="Quantity"/>
    <tableColumn id="7" xr3:uid="{00000000-0010-0000-0000-000007000000}" name="Unit Price (SAR)"/>
    <tableColumn id="8" xr3:uid="{00000000-0010-0000-0000-000008000000}" name="Total (SAR)"/>
    <tableColumn id="9" xr3:uid="{00000000-0010-0000-0000-000009000000}" name="Payment Method"/>
    <tableColumn id="10" xr3:uid="{00000000-0010-0000-0000-00000A000000}" name="Employe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="39" zoomScaleNormal="39" workbookViewId="0">
      <pane ySplit="1" topLeftCell="A2" activePane="bottomLeft" state="frozen"/>
      <selection pane="bottomLeft" activeCell="D100" sqref="D100"/>
    </sheetView>
  </sheetViews>
  <sheetFormatPr defaultColWidth="29.90625" defaultRowHeight="14.5" x14ac:dyDescent="0.35"/>
  <cols>
    <col min="12" max="12" width="38.6328125" customWidth="1"/>
  </cols>
  <sheetData>
    <row r="1" spans="1:12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/>
    </row>
    <row r="2" spans="1:12" x14ac:dyDescent="0.35">
      <c r="A2" s="3" t="s">
        <v>10</v>
      </c>
      <c r="B2" s="4">
        <v>46208</v>
      </c>
      <c r="C2" s="3" t="str">
        <f t="shared" ref="C2:C33" si="0">TEXT(B2,"mmm yyyy")</f>
        <v>Jul 2026</v>
      </c>
      <c r="D2" s="5" t="s">
        <v>11</v>
      </c>
      <c r="E2" s="3" t="s">
        <v>12</v>
      </c>
      <c r="F2" s="3">
        <v>3</v>
      </c>
      <c r="G2" s="6">
        <v>9</v>
      </c>
      <c r="H2" s="6">
        <f t="shared" ref="H2:H33" si="1">F2*G2</f>
        <v>27</v>
      </c>
      <c r="I2" s="3" t="s">
        <v>13</v>
      </c>
      <c r="J2" s="3" t="s">
        <v>14</v>
      </c>
      <c r="L2" s="7"/>
    </row>
    <row r="3" spans="1:12" x14ac:dyDescent="0.35">
      <c r="A3" s="3" t="s">
        <v>15</v>
      </c>
      <c r="B3" s="4">
        <v>46209</v>
      </c>
      <c r="C3" s="3" t="str">
        <f t="shared" si="0"/>
        <v>Jul 2026</v>
      </c>
      <c r="D3" s="5" t="s">
        <v>16</v>
      </c>
      <c r="E3" s="3" t="s">
        <v>17</v>
      </c>
      <c r="F3" s="3">
        <v>1</v>
      </c>
      <c r="G3" s="6">
        <v>7</v>
      </c>
      <c r="H3" s="6">
        <f t="shared" si="1"/>
        <v>7</v>
      </c>
      <c r="I3" s="3" t="s">
        <v>18</v>
      </c>
      <c r="J3" s="3" t="s">
        <v>19</v>
      </c>
      <c r="L3" s="7"/>
    </row>
    <row r="4" spans="1:12" x14ac:dyDescent="0.35">
      <c r="A4" s="3" t="s">
        <v>20</v>
      </c>
      <c r="B4" s="4">
        <v>46210</v>
      </c>
      <c r="C4" s="3" t="str">
        <f t="shared" si="0"/>
        <v>Jul 2026</v>
      </c>
      <c r="D4" s="5" t="s">
        <v>21</v>
      </c>
      <c r="E4" s="3" t="s">
        <v>22</v>
      </c>
      <c r="F4" s="3">
        <v>6</v>
      </c>
      <c r="G4" s="6">
        <v>12</v>
      </c>
      <c r="H4" s="6">
        <f t="shared" si="1"/>
        <v>72</v>
      </c>
      <c r="I4" s="3" t="s">
        <v>23</v>
      </c>
      <c r="J4" s="3" t="s">
        <v>14</v>
      </c>
      <c r="L4" s="7"/>
    </row>
    <row r="5" spans="1:12" x14ac:dyDescent="0.35">
      <c r="A5" s="3" t="s">
        <v>24</v>
      </c>
      <c r="B5" s="4">
        <v>46210</v>
      </c>
      <c r="C5" s="3" t="str">
        <f t="shared" si="0"/>
        <v>Jul 2026</v>
      </c>
      <c r="D5" s="5" t="s">
        <v>25</v>
      </c>
      <c r="E5" s="3" t="s">
        <v>26</v>
      </c>
      <c r="F5" s="3">
        <v>4</v>
      </c>
      <c r="G5" s="6">
        <v>5.5</v>
      </c>
      <c r="H5" s="6">
        <f t="shared" si="1"/>
        <v>22</v>
      </c>
      <c r="I5" s="3" t="s">
        <v>18</v>
      </c>
      <c r="J5" s="3" t="s">
        <v>27</v>
      </c>
      <c r="L5" s="7"/>
    </row>
    <row r="6" spans="1:12" x14ac:dyDescent="0.35">
      <c r="A6" s="3" t="s">
        <v>28</v>
      </c>
      <c r="B6" s="4">
        <v>46211</v>
      </c>
      <c r="C6" s="3" t="str">
        <f t="shared" si="0"/>
        <v>Jul 2026</v>
      </c>
      <c r="D6" s="5" t="s">
        <v>29</v>
      </c>
      <c r="E6" s="3" t="s">
        <v>22</v>
      </c>
      <c r="F6" s="3">
        <v>4</v>
      </c>
      <c r="G6" s="6">
        <v>4.5</v>
      </c>
      <c r="H6" s="6">
        <f t="shared" si="1"/>
        <v>18</v>
      </c>
      <c r="I6" s="3" t="s">
        <v>18</v>
      </c>
      <c r="J6" s="3" t="s">
        <v>27</v>
      </c>
    </row>
    <row r="7" spans="1:12" x14ac:dyDescent="0.35">
      <c r="A7" s="3" t="s">
        <v>30</v>
      </c>
      <c r="B7" s="4">
        <v>46211</v>
      </c>
      <c r="C7" s="3" t="str">
        <f t="shared" si="0"/>
        <v>Jul 2026</v>
      </c>
      <c r="D7" s="5" t="s">
        <v>31</v>
      </c>
      <c r="E7" s="3" t="s">
        <v>12</v>
      </c>
      <c r="F7" s="3">
        <v>6</v>
      </c>
      <c r="G7" s="6">
        <v>11</v>
      </c>
      <c r="H7" s="6">
        <f t="shared" si="1"/>
        <v>66</v>
      </c>
      <c r="I7" s="3" t="s">
        <v>23</v>
      </c>
      <c r="J7" s="3" t="s">
        <v>14</v>
      </c>
    </row>
    <row r="8" spans="1:12" x14ac:dyDescent="0.35">
      <c r="A8" s="3" t="s">
        <v>32</v>
      </c>
      <c r="B8" s="4">
        <v>46211</v>
      </c>
      <c r="C8" s="3" t="str">
        <f t="shared" si="0"/>
        <v>Jul 2026</v>
      </c>
      <c r="D8" s="5" t="s">
        <v>29</v>
      </c>
      <c r="E8" s="3" t="s">
        <v>22</v>
      </c>
      <c r="F8" s="3">
        <v>6</v>
      </c>
      <c r="G8" s="6">
        <v>4.5</v>
      </c>
      <c r="H8" s="6">
        <f t="shared" si="1"/>
        <v>27</v>
      </c>
      <c r="I8" s="3" t="s">
        <v>33</v>
      </c>
      <c r="J8" s="3" t="s">
        <v>19</v>
      </c>
    </row>
    <row r="9" spans="1:12" x14ac:dyDescent="0.35">
      <c r="A9" s="3" t="s">
        <v>34</v>
      </c>
      <c r="B9" s="4">
        <v>46211</v>
      </c>
      <c r="C9" s="3" t="str">
        <f t="shared" si="0"/>
        <v>Jul 2026</v>
      </c>
      <c r="D9" s="5" t="s">
        <v>35</v>
      </c>
      <c r="E9" s="3" t="s">
        <v>36</v>
      </c>
      <c r="F9" s="3">
        <v>4</v>
      </c>
      <c r="G9" s="6">
        <v>2.5</v>
      </c>
      <c r="H9" s="6">
        <f t="shared" si="1"/>
        <v>10</v>
      </c>
      <c r="I9" s="3" t="s">
        <v>23</v>
      </c>
      <c r="J9" s="3" t="s">
        <v>37</v>
      </c>
    </row>
    <row r="10" spans="1:12" x14ac:dyDescent="0.35">
      <c r="A10" s="3" t="s">
        <v>38</v>
      </c>
      <c r="B10" s="4">
        <v>46212</v>
      </c>
      <c r="C10" s="3" t="str">
        <f t="shared" si="0"/>
        <v>Jul 2026</v>
      </c>
      <c r="D10" s="5" t="s">
        <v>25</v>
      </c>
      <c r="E10" s="3" t="s">
        <v>26</v>
      </c>
      <c r="F10" s="3">
        <v>1</v>
      </c>
      <c r="G10" s="6">
        <v>5.5</v>
      </c>
      <c r="H10" s="6">
        <f t="shared" si="1"/>
        <v>5.5</v>
      </c>
      <c r="I10" s="3" t="s">
        <v>33</v>
      </c>
      <c r="J10" s="3" t="s">
        <v>27</v>
      </c>
    </row>
    <row r="11" spans="1:12" x14ac:dyDescent="0.35">
      <c r="A11" s="3" t="s">
        <v>39</v>
      </c>
      <c r="B11" s="4">
        <v>46212</v>
      </c>
      <c r="C11" s="3" t="str">
        <f t="shared" si="0"/>
        <v>Jul 2026</v>
      </c>
      <c r="D11" s="5" t="s">
        <v>40</v>
      </c>
      <c r="E11" s="3" t="s">
        <v>22</v>
      </c>
      <c r="F11" s="3">
        <v>3</v>
      </c>
      <c r="G11" s="6">
        <v>6</v>
      </c>
      <c r="H11" s="6">
        <f t="shared" si="1"/>
        <v>18</v>
      </c>
      <c r="I11" s="3" t="s">
        <v>13</v>
      </c>
      <c r="J11" s="3" t="s">
        <v>37</v>
      </c>
    </row>
    <row r="12" spans="1:12" x14ac:dyDescent="0.35">
      <c r="A12" s="3" t="s">
        <v>41</v>
      </c>
      <c r="B12" s="4">
        <v>46213</v>
      </c>
      <c r="C12" s="3" t="str">
        <f t="shared" si="0"/>
        <v>Jul 2026</v>
      </c>
      <c r="D12" s="5" t="s">
        <v>16</v>
      </c>
      <c r="E12" s="3" t="s">
        <v>17</v>
      </c>
      <c r="F12" s="3">
        <v>4</v>
      </c>
      <c r="G12" s="6">
        <v>7</v>
      </c>
      <c r="H12" s="6">
        <f t="shared" si="1"/>
        <v>28</v>
      </c>
      <c r="I12" s="3" t="s">
        <v>33</v>
      </c>
      <c r="J12" s="3" t="s">
        <v>27</v>
      </c>
    </row>
    <row r="13" spans="1:12" x14ac:dyDescent="0.35">
      <c r="A13" s="3" t="s">
        <v>42</v>
      </c>
      <c r="B13" s="4">
        <v>46213</v>
      </c>
      <c r="C13" s="3" t="str">
        <f t="shared" si="0"/>
        <v>Jul 2026</v>
      </c>
      <c r="D13" s="5" t="s">
        <v>43</v>
      </c>
      <c r="E13" s="3" t="s">
        <v>36</v>
      </c>
      <c r="F13" s="3">
        <v>4</v>
      </c>
      <c r="G13" s="6">
        <v>3</v>
      </c>
      <c r="H13" s="6">
        <f t="shared" si="1"/>
        <v>12</v>
      </c>
      <c r="I13" s="3" t="s">
        <v>33</v>
      </c>
      <c r="J13" s="3" t="s">
        <v>19</v>
      </c>
    </row>
    <row r="14" spans="1:12" x14ac:dyDescent="0.35">
      <c r="A14" s="3" t="s">
        <v>44</v>
      </c>
      <c r="B14" s="4">
        <v>46214</v>
      </c>
      <c r="C14" s="3" t="str">
        <f t="shared" si="0"/>
        <v>Jul 2026</v>
      </c>
      <c r="D14" s="5" t="s">
        <v>43</v>
      </c>
      <c r="E14" s="3" t="s">
        <v>36</v>
      </c>
      <c r="F14" s="3">
        <v>4</v>
      </c>
      <c r="G14" s="6">
        <v>3</v>
      </c>
      <c r="H14" s="6">
        <f t="shared" si="1"/>
        <v>12</v>
      </c>
      <c r="I14" s="3" t="s">
        <v>23</v>
      </c>
      <c r="J14" s="3" t="s">
        <v>14</v>
      </c>
    </row>
    <row r="15" spans="1:12" x14ac:dyDescent="0.35">
      <c r="A15" s="3" t="s">
        <v>45</v>
      </c>
      <c r="B15" s="4">
        <v>46215</v>
      </c>
      <c r="C15" s="3" t="str">
        <f t="shared" si="0"/>
        <v>Jul 2026</v>
      </c>
      <c r="D15" s="5" t="s">
        <v>21</v>
      </c>
      <c r="E15" s="3" t="s">
        <v>22</v>
      </c>
      <c r="F15" s="3">
        <v>6</v>
      </c>
      <c r="G15" s="6">
        <v>12</v>
      </c>
      <c r="H15" s="6">
        <f t="shared" si="1"/>
        <v>72</v>
      </c>
      <c r="I15" s="3" t="s">
        <v>33</v>
      </c>
      <c r="J15" s="3" t="s">
        <v>37</v>
      </c>
    </row>
    <row r="16" spans="1:12" x14ac:dyDescent="0.35">
      <c r="A16" s="3" t="s">
        <v>46</v>
      </c>
      <c r="B16" s="4">
        <v>46215</v>
      </c>
      <c r="C16" s="3" t="str">
        <f t="shared" si="0"/>
        <v>Jul 2026</v>
      </c>
      <c r="D16" s="5" t="s">
        <v>43</v>
      </c>
      <c r="E16" s="3" t="s">
        <v>36</v>
      </c>
      <c r="F16" s="3">
        <v>1</v>
      </c>
      <c r="G16" s="6">
        <v>3</v>
      </c>
      <c r="H16" s="6">
        <f t="shared" si="1"/>
        <v>3</v>
      </c>
      <c r="I16" s="3" t="s">
        <v>13</v>
      </c>
      <c r="J16" s="3" t="s">
        <v>37</v>
      </c>
    </row>
    <row r="17" spans="1:10" x14ac:dyDescent="0.35">
      <c r="A17" s="3" t="s">
        <v>47</v>
      </c>
      <c r="B17" s="4">
        <v>46216</v>
      </c>
      <c r="C17" s="3" t="str">
        <f t="shared" si="0"/>
        <v>Jul 2026</v>
      </c>
      <c r="D17" s="5" t="s">
        <v>40</v>
      </c>
      <c r="E17" s="3" t="s">
        <v>22</v>
      </c>
      <c r="F17" s="3">
        <v>6</v>
      </c>
      <c r="G17" s="6">
        <v>6</v>
      </c>
      <c r="H17" s="6">
        <f t="shared" si="1"/>
        <v>36</v>
      </c>
      <c r="I17" s="3" t="s">
        <v>13</v>
      </c>
      <c r="J17" s="3" t="s">
        <v>27</v>
      </c>
    </row>
    <row r="18" spans="1:10" x14ac:dyDescent="0.35">
      <c r="A18" s="3" t="s">
        <v>48</v>
      </c>
      <c r="B18" s="4">
        <v>46216</v>
      </c>
      <c r="C18" s="3" t="str">
        <f t="shared" si="0"/>
        <v>Jul 2026</v>
      </c>
      <c r="D18" s="5" t="s">
        <v>49</v>
      </c>
      <c r="E18" s="3" t="s">
        <v>17</v>
      </c>
      <c r="F18" s="3">
        <v>5</v>
      </c>
      <c r="G18" s="6">
        <v>5</v>
      </c>
      <c r="H18" s="6">
        <f t="shared" si="1"/>
        <v>25</v>
      </c>
      <c r="I18" s="3" t="s">
        <v>13</v>
      </c>
      <c r="J18" s="3" t="s">
        <v>19</v>
      </c>
    </row>
    <row r="19" spans="1:10" x14ac:dyDescent="0.35">
      <c r="A19" s="3" t="s">
        <v>50</v>
      </c>
      <c r="B19" s="4">
        <v>46217</v>
      </c>
      <c r="C19" s="3" t="str">
        <f t="shared" si="0"/>
        <v>Jul 2026</v>
      </c>
      <c r="D19" s="5" t="s">
        <v>29</v>
      </c>
      <c r="E19" s="3" t="s">
        <v>22</v>
      </c>
      <c r="F19" s="3">
        <v>1</v>
      </c>
      <c r="G19" s="6">
        <v>4.5</v>
      </c>
      <c r="H19" s="6">
        <f t="shared" si="1"/>
        <v>4.5</v>
      </c>
      <c r="I19" s="3" t="s">
        <v>13</v>
      </c>
      <c r="J19" s="3" t="s">
        <v>14</v>
      </c>
    </row>
    <row r="20" spans="1:10" x14ac:dyDescent="0.35">
      <c r="A20" s="3" t="s">
        <v>51</v>
      </c>
      <c r="B20" s="4">
        <v>46219</v>
      </c>
      <c r="C20" s="3" t="str">
        <f t="shared" si="0"/>
        <v>Jul 2026</v>
      </c>
      <c r="D20" s="5" t="s">
        <v>52</v>
      </c>
      <c r="E20" s="3" t="s">
        <v>17</v>
      </c>
      <c r="F20" s="3">
        <v>3</v>
      </c>
      <c r="G20" s="6">
        <v>14</v>
      </c>
      <c r="H20" s="6">
        <f t="shared" si="1"/>
        <v>42</v>
      </c>
      <c r="I20" s="3" t="s">
        <v>23</v>
      </c>
      <c r="J20" s="3" t="s">
        <v>37</v>
      </c>
    </row>
    <row r="21" spans="1:10" x14ac:dyDescent="0.35">
      <c r="A21" s="3" t="s">
        <v>53</v>
      </c>
      <c r="B21" s="4">
        <v>46219</v>
      </c>
      <c r="C21" s="3" t="str">
        <f t="shared" si="0"/>
        <v>Jul 2026</v>
      </c>
      <c r="D21" s="5" t="s">
        <v>31</v>
      </c>
      <c r="E21" s="3" t="s">
        <v>12</v>
      </c>
      <c r="F21" s="3">
        <v>5</v>
      </c>
      <c r="G21" s="6">
        <v>11</v>
      </c>
      <c r="H21" s="6">
        <f t="shared" si="1"/>
        <v>55</v>
      </c>
      <c r="I21" s="3" t="s">
        <v>18</v>
      </c>
      <c r="J21" s="3" t="s">
        <v>14</v>
      </c>
    </row>
    <row r="22" spans="1:10" x14ac:dyDescent="0.35">
      <c r="A22" s="3" t="s">
        <v>54</v>
      </c>
      <c r="B22" s="4">
        <v>46219</v>
      </c>
      <c r="C22" s="3" t="str">
        <f t="shared" si="0"/>
        <v>Jul 2026</v>
      </c>
      <c r="D22" s="5" t="s">
        <v>11</v>
      </c>
      <c r="E22" s="3" t="s">
        <v>12</v>
      </c>
      <c r="F22" s="3">
        <v>6</v>
      </c>
      <c r="G22" s="6">
        <v>9</v>
      </c>
      <c r="H22" s="6">
        <f t="shared" si="1"/>
        <v>54</v>
      </c>
      <c r="I22" s="3" t="s">
        <v>33</v>
      </c>
      <c r="J22" s="3" t="s">
        <v>14</v>
      </c>
    </row>
    <row r="23" spans="1:10" x14ac:dyDescent="0.35">
      <c r="A23" s="3" t="s">
        <v>55</v>
      </c>
      <c r="B23" s="4">
        <v>46221</v>
      </c>
      <c r="C23" s="3" t="str">
        <f t="shared" si="0"/>
        <v>Jul 2026</v>
      </c>
      <c r="D23" s="5" t="s">
        <v>16</v>
      </c>
      <c r="E23" s="3" t="s">
        <v>17</v>
      </c>
      <c r="F23" s="3">
        <v>4</v>
      </c>
      <c r="G23" s="6">
        <v>7</v>
      </c>
      <c r="H23" s="6">
        <f t="shared" si="1"/>
        <v>28</v>
      </c>
      <c r="I23" s="3" t="s">
        <v>18</v>
      </c>
      <c r="J23" s="3" t="s">
        <v>14</v>
      </c>
    </row>
    <row r="24" spans="1:10" x14ac:dyDescent="0.35">
      <c r="A24" s="3" t="s">
        <v>56</v>
      </c>
      <c r="B24" s="4">
        <v>46222</v>
      </c>
      <c r="C24" s="3" t="str">
        <f t="shared" si="0"/>
        <v>Jul 2026</v>
      </c>
      <c r="D24" s="5" t="s">
        <v>57</v>
      </c>
      <c r="E24" s="3" t="s">
        <v>26</v>
      </c>
      <c r="F24" s="3">
        <v>4</v>
      </c>
      <c r="G24" s="6">
        <v>3.5</v>
      </c>
      <c r="H24" s="6">
        <f t="shared" si="1"/>
        <v>14</v>
      </c>
      <c r="I24" s="3" t="s">
        <v>18</v>
      </c>
      <c r="J24" s="3" t="s">
        <v>37</v>
      </c>
    </row>
    <row r="25" spans="1:10" x14ac:dyDescent="0.35">
      <c r="A25" s="3" t="s">
        <v>58</v>
      </c>
      <c r="B25" s="4">
        <v>46223</v>
      </c>
      <c r="C25" s="3" t="str">
        <f t="shared" si="0"/>
        <v>Jul 2026</v>
      </c>
      <c r="D25" s="5" t="s">
        <v>59</v>
      </c>
      <c r="E25" s="3" t="s">
        <v>36</v>
      </c>
      <c r="F25" s="3">
        <v>2</v>
      </c>
      <c r="G25" s="6">
        <v>8</v>
      </c>
      <c r="H25" s="6">
        <f t="shared" si="1"/>
        <v>16</v>
      </c>
      <c r="I25" s="3" t="s">
        <v>33</v>
      </c>
      <c r="J25" s="3" t="s">
        <v>37</v>
      </c>
    </row>
    <row r="26" spans="1:10" x14ac:dyDescent="0.35">
      <c r="A26" s="3" t="s">
        <v>60</v>
      </c>
      <c r="B26" s="4">
        <v>46225</v>
      </c>
      <c r="C26" s="3" t="str">
        <f t="shared" si="0"/>
        <v>Jul 2026</v>
      </c>
      <c r="D26" s="5" t="s">
        <v>59</v>
      </c>
      <c r="E26" s="3" t="s">
        <v>36</v>
      </c>
      <c r="F26" s="3">
        <v>3</v>
      </c>
      <c r="G26" s="6">
        <v>8</v>
      </c>
      <c r="H26" s="6">
        <f t="shared" si="1"/>
        <v>24</v>
      </c>
      <c r="I26" s="3" t="s">
        <v>18</v>
      </c>
      <c r="J26" s="3" t="s">
        <v>27</v>
      </c>
    </row>
    <row r="27" spans="1:10" x14ac:dyDescent="0.35">
      <c r="A27" s="3" t="s">
        <v>61</v>
      </c>
      <c r="B27" s="4">
        <v>46227</v>
      </c>
      <c r="C27" s="3" t="str">
        <f t="shared" si="0"/>
        <v>Jul 2026</v>
      </c>
      <c r="D27" s="5" t="s">
        <v>35</v>
      </c>
      <c r="E27" s="3" t="s">
        <v>36</v>
      </c>
      <c r="F27" s="3">
        <v>5</v>
      </c>
      <c r="G27" s="6">
        <v>2.5</v>
      </c>
      <c r="H27" s="6">
        <f t="shared" si="1"/>
        <v>12.5</v>
      </c>
      <c r="I27" s="3" t="s">
        <v>13</v>
      </c>
      <c r="J27" s="3" t="s">
        <v>27</v>
      </c>
    </row>
    <row r="28" spans="1:10" x14ac:dyDescent="0.35">
      <c r="A28" s="3" t="s">
        <v>62</v>
      </c>
      <c r="B28" s="4">
        <v>46227</v>
      </c>
      <c r="C28" s="3" t="str">
        <f t="shared" si="0"/>
        <v>Jul 2026</v>
      </c>
      <c r="D28" s="5" t="s">
        <v>21</v>
      </c>
      <c r="E28" s="3" t="s">
        <v>22</v>
      </c>
      <c r="F28" s="3">
        <v>5</v>
      </c>
      <c r="G28" s="6">
        <v>12</v>
      </c>
      <c r="H28" s="6">
        <f t="shared" si="1"/>
        <v>60</v>
      </c>
      <c r="I28" s="3" t="s">
        <v>18</v>
      </c>
      <c r="J28" s="3" t="s">
        <v>27</v>
      </c>
    </row>
    <row r="29" spans="1:10" x14ac:dyDescent="0.35">
      <c r="A29" s="3" t="s">
        <v>63</v>
      </c>
      <c r="B29" s="4">
        <v>46228</v>
      </c>
      <c r="C29" s="3" t="str">
        <f t="shared" si="0"/>
        <v>Jul 2026</v>
      </c>
      <c r="D29" s="5" t="s">
        <v>40</v>
      </c>
      <c r="E29" s="3" t="s">
        <v>22</v>
      </c>
      <c r="F29" s="3">
        <v>5</v>
      </c>
      <c r="G29" s="6">
        <v>6</v>
      </c>
      <c r="H29" s="6">
        <f t="shared" si="1"/>
        <v>30</v>
      </c>
      <c r="I29" s="3" t="s">
        <v>33</v>
      </c>
      <c r="J29" s="3" t="s">
        <v>37</v>
      </c>
    </row>
    <row r="30" spans="1:10" x14ac:dyDescent="0.35">
      <c r="A30" s="3" t="s">
        <v>64</v>
      </c>
      <c r="B30" s="4">
        <v>46230</v>
      </c>
      <c r="C30" s="3" t="str">
        <f t="shared" si="0"/>
        <v>Jul 2026</v>
      </c>
      <c r="D30" s="5" t="s">
        <v>57</v>
      </c>
      <c r="E30" s="3" t="s">
        <v>26</v>
      </c>
      <c r="F30" s="3">
        <v>3</v>
      </c>
      <c r="G30" s="6">
        <v>3.5</v>
      </c>
      <c r="H30" s="6">
        <f t="shared" si="1"/>
        <v>10.5</v>
      </c>
      <c r="I30" s="3" t="s">
        <v>23</v>
      </c>
      <c r="J30" s="3" t="s">
        <v>19</v>
      </c>
    </row>
    <row r="31" spans="1:10" x14ac:dyDescent="0.35">
      <c r="A31" s="3" t="s">
        <v>65</v>
      </c>
      <c r="B31" s="4">
        <v>46231</v>
      </c>
      <c r="C31" s="3" t="str">
        <f t="shared" si="0"/>
        <v>Jul 2026</v>
      </c>
      <c r="D31" s="5" t="s">
        <v>49</v>
      </c>
      <c r="E31" s="3" t="s">
        <v>17</v>
      </c>
      <c r="F31" s="3">
        <v>1</v>
      </c>
      <c r="G31" s="6">
        <v>5</v>
      </c>
      <c r="H31" s="6">
        <f t="shared" si="1"/>
        <v>5</v>
      </c>
      <c r="I31" s="3" t="s">
        <v>18</v>
      </c>
      <c r="J31" s="3" t="s">
        <v>14</v>
      </c>
    </row>
    <row r="32" spans="1:10" x14ac:dyDescent="0.35">
      <c r="A32" s="3" t="s">
        <v>66</v>
      </c>
      <c r="B32" s="4">
        <v>46232</v>
      </c>
      <c r="C32" s="3" t="str">
        <f t="shared" si="0"/>
        <v>Jul 2026</v>
      </c>
      <c r="D32" s="5" t="s">
        <v>49</v>
      </c>
      <c r="E32" s="3" t="s">
        <v>17</v>
      </c>
      <c r="F32" s="3">
        <v>4</v>
      </c>
      <c r="G32" s="6">
        <v>5</v>
      </c>
      <c r="H32" s="6">
        <f t="shared" si="1"/>
        <v>20</v>
      </c>
      <c r="I32" s="3" t="s">
        <v>33</v>
      </c>
      <c r="J32" s="3" t="s">
        <v>19</v>
      </c>
    </row>
    <row r="33" spans="1:10" x14ac:dyDescent="0.35">
      <c r="A33" s="3" t="s">
        <v>67</v>
      </c>
      <c r="B33" s="4">
        <v>46232</v>
      </c>
      <c r="C33" s="3" t="str">
        <f t="shared" si="0"/>
        <v>Jul 2026</v>
      </c>
      <c r="D33" s="5" t="s">
        <v>59</v>
      </c>
      <c r="E33" s="3" t="s">
        <v>36</v>
      </c>
      <c r="F33" s="3">
        <v>2</v>
      </c>
      <c r="G33" s="6">
        <v>8</v>
      </c>
      <c r="H33" s="6">
        <f t="shared" si="1"/>
        <v>16</v>
      </c>
      <c r="I33" s="3" t="s">
        <v>18</v>
      </c>
      <c r="J33" s="3" t="s">
        <v>19</v>
      </c>
    </row>
    <row r="34" spans="1:10" x14ac:dyDescent="0.35">
      <c r="A34" s="3" t="s">
        <v>68</v>
      </c>
      <c r="B34" s="4">
        <v>46234</v>
      </c>
      <c r="C34" s="3" t="str">
        <f t="shared" ref="C34:C65" si="2">TEXT(B34,"mmm yyyy")</f>
        <v>Jul 2026</v>
      </c>
      <c r="D34" s="5" t="s">
        <v>31</v>
      </c>
      <c r="E34" s="3" t="s">
        <v>12</v>
      </c>
      <c r="F34" s="3">
        <v>3</v>
      </c>
      <c r="G34" s="6">
        <v>11</v>
      </c>
      <c r="H34" s="6">
        <f t="shared" ref="H34:H65" si="3">F34*G34</f>
        <v>33</v>
      </c>
      <c r="I34" s="3" t="s">
        <v>33</v>
      </c>
      <c r="J34" s="3" t="s">
        <v>37</v>
      </c>
    </row>
    <row r="35" spans="1:10" x14ac:dyDescent="0.35">
      <c r="A35" s="3" t="s">
        <v>69</v>
      </c>
      <c r="B35" s="4">
        <v>46235</v>
      </c>
      <c r="C35" s="3" t="str">
        <f t="shared" si="2"/>
        <v>Aug 2026</v>
      </c>
      <c r="D35" s="5" t="s">
        <v>52</v>
      </c>
      <c r="E35" s="3" t="s">
        <v>17</v>
      </c>
      <c r="F35" s="3">
        <v>1</v>
      </c>
      <c r="G35" s="6">
        <v>14</v>
      </c>
      <c r="H35" s="6">
        <f t="shared" si="3"/>
        <v>14</v>
      </c>
      <c r="I35" s="3" t="s">
        <v>13</v>
      </c>
      <c r="J35" s="3" t="s">
        <v>19</v>
      </c>
    </row>
    <row r="36" spans="1:10" x14ac:dyDescent="0.35">
      <c r="A36" s="3" t="s">
        <v>70</v>
      </c>
      <c r="B36" s="4">
        <v>46235</v>
      </c>
      <c r="C36" s="3" t="str">
        <f t="shared" si="2"/>
        <v>Aug 2026</v>
      </c>
      <c r="D36" s="5" t="s">
        <v>43</v>
      </c>
      <c r="E36" s="3" t="s">
        <v>36</v>
      </c>
      <c r="F36" s="3">
        <v>6</v>
      </c>
      <c r="G36" s="6">
        <v>3</v>
      </c>
      <c r="H36" s="6">
        <f t="shared" si="3"/>
        <v>18</v>
      </c>
      <c r="I36" s="3" t="s">
        <v>18</v>
      </c>
      <c r="J36" s="3" t="s">
        <v>19</v>
      </c>
    </row>
    <row r="37" spans="1:10" x14ac:dyDescent="0.35">
      <c r="A37" s="3" t="s">
        <v>71</v>
      </c>
      <c r="B37" s="4">
        <v>46240</v>
      </c>
      <c r="C37" s="3" t="str">
        <f t="shared" si="2"/>
        <v>Aug 2026</v>
      </c>
      <c r="D37" s="5" t="s">
        <v>57</v>
      </c>
      <c r="E37" s="3" t="s">
        <v>26</v>
      </c>
      <c r="F37" s="3">
        <v>1</v>
      </c>
      <c r="G37" s="6">
        <v>3.5</v>
      </c>
      <c r="H37" s="6">
        <f t="shared" si="3"/>
        <v>3.5</v>
      </c>
      <c r="I37" s="3" t="s">
        <v>23</v>
      </c>
      <c r="J37" s="3" t="s">
        <v>19</v>
      </c>
    </row>
    <row r="38" spans="1:10" x14ac:dyDescent="0.35">
      <c r="A38" s="3" t="s">
        <v>72</v>
      </c>
      <c r="B38" s="4">
        <v>46241</v>
      </c>
      <c r="C38" s="3" t="str">
        <f t="shared" si="2"/>
        <v>Aug 2026</v>
      </c>
      <c r="D38" s="5" t="s">
        <v>43</v>
      </c>
      <c r="E38" s="3" t="s">
        <v>36</v>
      </c>
      <c r="F38" s="3">
        <v>3</v>
      </c>
      <c r="G38" s="6">
        <v>3</v>
      </c>
      <c r="H38" s="6">
        <f t="shared" si="3"/>
        <v>9</v>
      </c>
      <c r="I38" s="3" t="s">
        <v>13</v>
      </c>
      <c r="J38" s="3" t="s">
        <v>19</v>
      </c>
    </row>
    <row r="39" spans="1:10" x14ac:dyDescent="0.35">
      <c r="A39" s="3" t="s">
        <v>73</v>
      </c>
      <c r="B39" s="4">
        <v>46242</v>
      </c>
      <c r="C39" s="3" t="str">
        <f t="shared" si="2"/>
        <v>Aug 2026</v>
      </c>
      <c r="D39" s="5" t="s">
        <v>57</v>
      </c>
      <c r="E39" s="3" t="s">
        <v>26</v>
      </c>
      <c r="F39" s="3">
        <v>2</v>
      </c>
      <c r="G39" s="6">
        <v>3.5</v>
      </c>
      <c r="H39" s="6">
        <f t="shared" si="3"/>
        <v>7</v>
      </c>
      <c r="I39" s="3" t="s">
        <v>13</v>
      </c>
      <c r="J39" s="3" t="s">
        <v>37</v>
      </c>
    </row>
    <row r="40" spans="1:10" x14ac:dyDescent="0.35">
      <c r="A40" s="3" t="s">
        <v>74</v>
      </c>
      <c r="B40" s="4">
        <v>46242</v>
      </c>
      <c r="C40" s="3" t="str">
        <f t="shared" si="2"/>
        <v>Aug 2026</v>
      </c>
      <c r="D40" s="5" t="s">
        <v>16</v>
      </c>
      <c r="E40" s="3" t="s">
        <v>17</v>
      </c>
      <c r="F40" s="3">
        <v>6</v>
      </c>
      <c r="G40" s="6">
        <v>7</v>
      </c>
      <c r="H40" s="6">
        <f t="shared" si="3"/>
        <v>42</v>
      </c>
      <c r="I40" s="3" t="s">
        <v>13</v>
      </c>
      <c r="J40" s="3" t="s">
        <v>37</v>
      </c>
    </row>
    <row r="41" spans="1:10" x14ac:dyDescent="0.35">
      <c r="A41" s="3" t="s">
        <v>75</v>
      </c>
      <c r="B41" s="4">
        <v>46243</v>
      </c>
      <c r="C41" s="3" t="str">
        <f t="shared" si="2"/>
        <v>Aug 2026</v>
      </c>
      <c r="D41" s="5" t="s">
        <v>52</v>
      </c>
      <c r="E41" s="3" t="s">
        <v>17</v>
      </c>
      <c r="F41" s="3">
        <v>4</v>
      </c>
      <c r="G41" s="6">
        <v>14</v>
      </c>
      <c r="H41" s="6">
        <f t="shared" si="3"/>
        <v>56</v>
      </c>
      <c r="I41" s="3" t="s">
        <v>23</v>
      </c>
      <c r="J41" s="3" t="s">
        <v>27</v>
      </c>
    </row>
    <row r="42" spans="1:10" x14ac:dyDescent="0.35">
      <c r="A42" s="3" t="s">
        <v>76</v>
      </c>
      <c r="B42" s="4">
        <v>46244</v>
      </c>
      <c r="C42" s="3" t="str">
        <f t="shared" si="2"/>
        <v>Aug 2026</v>
      </c>
      <c r="D42" s="5" t="s">
        <v>35</v>
      </c>
      <c r="E42" s="3" t="s">
        <v>36</v>
      </c>
      <c r="F42" s="3">
        <v>3</v>
      </c>
      <c r="G42" s="6">
        <v>2.5</v>
      </c>
      <c r="H42" s="6">
        <f t="shared" si="3"/>
        <v>7.5</v>
      </c>
      <c r="I42" s="3" t="s">
        <v>33</v>
      </c>
      <c r="J42" s="3" t="s">
        <v>19</v>
      </c>
    </row>
    <row r="43" spans="1:10" x14ac:dyDescent="0.35">
      <c r="A43" s="3" t="s">
        <v>77</v>
      </c>
      <c r="B43" s="4">
        <v>46245</v>
      </c>
      <c r="C43" s="3" t="str">
        <f t="shared" si="2"/>
        <v>Aug 2026</v>
      </c>
      <c r="D43" s="5" t="s">
        <v>40</v>
      </c>
      <c r="E43" s="3" t="s">
        <v>22</v>
      </c>
      <c r="F43" s="3">
        <v>6</v>
      </c>
      <c r="G43" s="6">
        <v>6</v>
      </c>
      <c r="H43" s="6">
        <f t="shared" si="3"/>
        <v>36</v>
      </c>
      <c r="I43" s="3" t="s">
        <v>23</v>
      </c>
      <c r="J43" s="3" t="s">
        <v>14</v>
      </c>
    </row>
    <row r="44" spans="1:10" x14ac:dyDescent="0.35">
      <c r="A44" s="3" t="s">
        <v>78</v>
      </c>
      <c r="B44" s="4">
        <v>46247</v>
      </c>
      <c r="C44" s="3" t="str">
        <f t="shared" si="2"/>
        <v>Aug 2026</v>
      </c>
      <c r="D44" s="5" t="s">
        <v>11</v>
      </c>
      <c r="E44" s="3" t="s">
        <v>12</v>
      </c>
      <c r="F44" s="3">
        <v>6</v>
      </c>
      <c r="G44" s="6">
        <v>9</v>
      </c>
      <c r="H44" s="6">
        <f t="shared" si="3"/>
        <v>54</v>
      </c>
      <c r="I44" s="3" t="s">
        <v>23</v>
      </c>
      <c r="J44" s="3" t="s">
        <v>19</v>
      </c>
    </row>
    <row r="45" spans="1:10" x14ac:dyDescent="0.35">
      <c r="A45" s="3" t="s">
        <v>79</v>
      </c>
      <c r="B45" s="4">
        <v>46250</v>
      </c>
      <c r="C45" s="3" t="str">
        <f t="shared" si="2"/>
        <v>Aug 2026</v>
      </c>
      <c r="D45" s="5" t="s">
        <v>59</v>
      </c>
      <c r="E45" s="3" t="s">
        <v>36</v>
      </c>
      <c r="F45" s="3">
        <v>2</v>
      </c>
      <c r="G45" s="6">
        <v>8</v>
      </c>
      <c r="H45" s="6">
        <f t="shared" si="3"/>
        <v>16</v>
      </c>
      <c r="I45" s="3" t="s">
        <v>18</v>
      </c>
      <c r="J45" s="3" t="s">
        <v>37</v>
      </c>
    </row>
    <row r="46" spans="1:10" x14ac:dyDescent="0.35">
      <c r="A46" s="3" t="s">
        <v>80</v>
      </c>
      <c r="B46" s="4">
        <v>46250</v>
      </c>
      <c r="C46" s="3" t="str">
        <f t="shared" si="2"/>
        <v>Aug 2026</v>
      </c>
      <c r="D46" s="5" t="s">
        <v>49</v>
      </c>
      <c r="E46" s="3" t="s">
        <v>17</v>
      </c>
      <c r="F46" s="3">
        <v>2</v>
      </c>
      <c r="G46" s="6">
        <v>5</v>
      </c>
      <c r="H46" s="6">
        <f t="shared" si="3"/>
        <v>10</v>
      </c>
      <c r="I46" s="3" t="s">
        <v>23</v>
      </c>
      <c r="J46" s="3" t="s">
        <v>37</v>
      </c>
    </row>
    <row r="47" spans="1:10" x14ac:dyDescent="0.35">
      <c r="A47" s="3" t="s">
        <v>81</v>
      </c>
      <c r="B47" s="4">
        <v>46251</v>
      </c>
      <c r="C47" s="3" t="str">
        <f t="shared" si="2"/>
        <v>Aug 2026</v>
      </c>
      <c r="D47" s="5" t="s">
        <v>49</v>
      </c>
      <c r="E47" s="3" t="s">
        <v>17</v>
      </c>
      <c r="F47" s="3">
        <v>5</v>
      </c>
      <c r="G47" s="6">
        <v>5</v>
      </c>
      <c r="H47" s="6">
        <f t="shared" si="3"/>
        <v>25</v>
      </c>
      <c r="I47" s="3" t="s">
        <v>18</v>
      </c>
      <c r="J47" s="3" t="s">
        <v>14</v>
      </c>
    </row>
    <row r="48" spans="1:10" x14ac:dyDescent="0.35">
      <c r="A48" s="3" t="s">
        <v>82</v>
      </c>
      <c r="B48" s="4">
        <v>46254</v>
      </c>
      <c r="C48" s="3" t="str">
        <f t="shared" si="2"/>
        <v>Aug 2026</v>
      </c>
      <c r="D48" s="5" t="s">
        <v>57</v>
      </c>
      <c r="E48" s="3" t="s">
        <v>26</v>
      </c>
      <c r="F48" s="3">
        <v>3</v>
      </c>
      <c r="G48" s="6">
        <v>3.5</v>
      </c>
      <c r="H48" s="6">
        <f t="shared" si="3"/>
        <v>10.5</v>
      </c>
      <c r="I48" s="3" t="s">
        <v>18</v>
      </c>
      <c r="J48" s="3" t="s">
        <v>27</v>
      </c>
    </row>
    <row r="49" spans="1:10" x14ac:dyDescent="0.35">
      <c r="A49" s="3" t="s">
        <v>83</v>
      </c>
      <c r="B49" s="4">
        <v>46254</v>
      </c>
      <c r="C49" s="3" t="str">
        <f t="shared" si="2"/>
        <v>Aug 2026</v>
      </c>
      <c r="D49" s="5" t="s">
        <v>16</v>
      </c>
      <c r="E49" s="3" t="s">
        <v>17</v>
      </c>
      <c r="F49" s="3">
        <v>6</v>
      </c>
      <c r="G49" s="6">
        <v>7</v>
      </c>
      <c r="H49" s="6">
        <f t="shared" si="3"/>
        <v>42</v>
      </c>
      <c r="I49" s="3" t="s">
        <v>13</v>
      </c>
      <c r="J49" s="3" t="s">
        <v>14</v>
      </c>
    </row>
    <row r="50" spans="1:10" x14ac:dyDescent="0.35">
      <c r="A50" s="3" t="s">
        <v>84</v>
      </c>
      <c r="B50" s="4">
        <v>46257</v>
      </c>
      <c r="C50" s="3" t="str">
        <f t="shared" si="2"/>
        <v>Aug 2026</v>
      </c>
      <c r="D50" s="5" t="s">
        <v>43</v>
      </c>
      <c r="E50" s="3" t="s">
        <v>36</v>
      </c>
      <c r="F50" s="3">
        <v>4</v>
      </c>
      <c r="G50" s="6">
        <v>3</v>
      </c>
      <c r="H50" s="6">
        <f t="shared" si="3"/>
        <v>12</v>
      </c>
      <c r="I50" s="3" t="s">
        <v>23</v>
      </c>
      <c r="J50" s="3" t="s">
        <v>27</v>
      </c>
    </row>
    <row r="51" spans="1:10" x14ac:dyDescent="0.35">
      <c r="A51" s="3" t="s">
        <v>85</v>
      </c>
      <c r="B51" s="4">
        <v>46257</v>
      </c>
      <c r="C51" s="3" t="str">
        <f t="shared" si="2"/>
        <v>Aug 2026</v>
      </c>
      <c r="D51" s="5" t="s">
        <v>11</v>
      </c>
      <c r="E51" s="3" t="s">
        <v>12</v>
      </c>
      <c r="F51" s="3">
        <v>6</v>
      </c>
      <c r="G51" s="6">
        <v>9</v>
      </c>
      <c r="H51" s="6">
        <f t="shared" si="3"/>
        <v>54</v>
      </c>
      <c r="I51" s="3" t="s">
        <v>33</v>
      </c>
      <c r="J51" s="3" t="s">
        <v>14</v>
      </c>
    </row>
    <row r="52" spans="1:10" x14ac:dyDescent="0.35">
      <c r="A52" s="3" t="s">
        <v>86</v>
      </c>
      <c r="B52" s="4">
        <v>46257</v>
      </c>
      <c r="C52" s="3" t="str">
        <f t="shared" si="2"/>
        <v>Aug 2026</v>
      </c>
      <c r="D52" s="5" t="s">
        <v>16</v>
      </c>
      <c r="E52" s="3" t="s">
        <v>17</v>
      </c>
      <c r="F52" s="3">
        <v>6</v>
      </c>
      <c r="G52" s="6">
        <v>7</v>
      </c>
      <c r="H52" s="6">
        <f t="shared" si="3"/>
        <v>42</v>
      </c>
      <c r="I52" s="3" t="s">
        <v>18</v>
      </c>
      <c r="J52" s="3" t="s">
        <v>37</v>
      </c>
    </row>
    <row r="53" spans="1:10" x14ac:dyDescent="0.35">
      <c r="A53" s="3" t="s">
        <v>87</v>
      </c>
      <c r="B53" s="4">
        <v>46258</v>
      </c>
      <c r="C53" s="3" t="str">
        <f t="shared" si="2"/>
        <v>Aug 2026</v>
      </c>
      <c r="D53" s="5" t="s">
        <v>43</v>
      </c>
      <c r="E53" s="3" t="s">
        <v>36</v>
      </c>
      <c r="F53" s="3">
        <v>2</v>
      </c>
      <c r="G53" s="6">
        <v>3</v>
      </c>
      <c r="H53" s="6">
        <f t="shared" si="3"/>
        <v>6</v>
      </c>
      <c r="I53" s="3" t="s">
        <v>18</v>
      </c>
      <c r="J53" s="3" t="s">
        <v>37</v>
      </c>
    </row>
    <row r="54" spans="1:10" x14ac:dyDescent="0.35">
      <c r="A54" s="3" t="s">
        <v>88</v>
      </c>
      <c r="B54" s="4">
        <v>46258</v>
      </c>
      <c r="C54" s="3" t="str">
        <f t="shared" si="2"/>
        <v>Aug 2026</v>
      </c>
      <c r="D54" s="5" t="s">
        <v>25</v>
      </c>
      <c r="E54" s="3" t="s">
        <v>26</v>
      </c>
      <c r="F54" s="3">
        <v>4</v>
      </c>
      <c r="G54" s="6">
        <v>5.5</v>
      </c>
      <c r="H54" s="6">
        <f t="shared" si="3"/>
        <v>22</v>
      </c>
      <c r="I54" s="3" t="s">
        <v>13</v>
      </c>
      <c r="J54" s="3" t="s">
        <v>14</v>
      </c>
    </row>
    <row r="55" spans="1:10" x14ac:dyDescent="0.35">
      <c r="A55" s="3" t="s">
        <v>89</v>
      </c>
      <c r="B55" s="4">
        <v>46259</v>
      </c>
      <c r="C55" s="3" t="str">
        <f t="shared" si="2"/>
        <v>Aug 2026</v>
      </c>
      <c r="D55" s="5" t="s">
        <v>57</v>
      </c>
      <c r="E55" s="3" t="s">
        <v>26</v>
      </c>
      <c r="F55" s="3">
        <v>3</v>
      </c>
      <c r="G55" s="6">
        <v>3.5</v>
      </c>
      <c r="H55" s="6">
        <f t="shared" si="3"/>
        <v>10.5</v>
      </c>
      <c r="I55" s="3" t="s">
        <v>13</v>
      </c>
      <c r="J55" s="3" t="s">
        <v>37</v>
      </c>
    </row>
    <row r="56" spans="1:10" x14ac:dyDescent="0.35">
      <c r="A56" s="3" t="s">
        <v>90</v>
      </c>
      <c r="B56" s="4">
        <v>46261</v>
      </c>
      <c r="C56" s="3" t="str">
        <f t="shared" si="2"/>
        <v>Aug 2026</v>
      </c>
      <c r="D56" s="5" t="s">
        <v>35</v>
      </c>
      <c r="E56" s="3" t="s">
        <v>36</v>
      </c>
      <c r="F56" s="3">
        <v>1</v>
      </c>
      <c r="G56" s="6">
        <v>2.5</v>
      </c>
      <c r="H56" s="6">
        <f t="shared" si="3"/>
        <v>2.5</v>
      </c>
      <c r="I56" s="3" t="s">
        <v>18</v>
      </c>
      <c r="J56" s="3" t="s">
        <v>37</v>
      </c>
    </row>
    <row r="57" spans="1:10" x14ac:dyDescent="0.35">
      <c r="A57" s="3" t="s">
        <v>91</v>
      </c>
      <c r="B57" s="4">
        <v>46262</v>
      </c>
      <c r="C57" s="3" t="str">
        <f t="shared" si="2"/>
        <v>Aug 2026</v>
      </c>
      <c r="D57" s="5" t="s">
        <v>16</v>
      </c>
      <c r="E57" s="3" t="s">
        <v>17</v>
      </c>
      <c r="F57" s="3">
        <v>2</v>
      </c>
      <c r="G57" s="6">
        <v>7</v>
      </c>
      <c r="H57" s="6">
        <f t="shared" si="3"/>
        <v>14</v>
      </c>
      <c r="I57" s="3" t="s">
        <v>13</v>
      </c>
      <c r="J57" s="3" t="s">
        <v>27</v>
      </c>
    </row>
    <row r="58" spans="1:10" x14ac:dyDescent="0.35">
      <c r="A58" s="3" t="s">
        <v>92</v>
      </c>
      <c r="B58" s="4">
        <v>46263</v>
      </c>
      <c r="C58" s="3" t="str">
        <f t="shared" si="2"/>
        <v>Aug 2026</v>
      </c>
      <c r="D58" s="5" t="s">
        <v>29</v>
      </c>
      <c r="E58" s="3" t="s">
        <v>22</v>
      </c>
      <c r="F58" s="3">
        <v>2</v>
      </c>
      <c r="G58" s="6">
        <v>4.5</v>
      </c>
      <c r="H58" s="6">
        <f t="shared" si="3"/>
        <v>9</v>
      </c>
      <c r="I58" s="3" t="s">
        <v>23</v>
      </c>
      <c r="J58" s="3" t="s">
        <v>37</v>
      </c>
    </row>
    <row r="59" spans="1:10" x14ac:dyDescent="0.35">
      <c r="A59" s="3" t="s">
        <v>93</v>
      </c>
      <c r="B59" s="4">
        <v>46267</v>
      </c>
      <c r="C59" s="3" t="str">
        <f t="shared" si="2"/>
        <v>Sep 2026</v>
      </c>
      <c r="D59" s="5" t="s">
        <v>11</v>
      </c>
      <c r="E59" s="3" t="s">
        <v>12</v>
      </c>
      <c r="F59" s="3">
        <v>5</v>
      </c>
      <c r="G59" s="6">
        <v>9</v>
      </c>
      <c r="H59" s="6">
        <f t="shared" si="3"/>
        <v>45</v>
      </c>
      <c r="I59" s="3" t="s">
        <v>23</v>
      </c>
      <c r="J59" s="3" t="s">
        <v>19</v>
      </c>
    </row>
    <row r="60" spans="1:10" x14ac:dyDescent="0.35">
      <c r="A60" s="3" t="s">
        <v>94</v>
      </c>
      <c r="B60" s="4">
        <v>46267</v>
      </c>
      <c r="C60" s="3" t="str">
        <f t="shared" si="2"/>
        <v>Sep 2026</v>
      </c>
      <c r="D60" s="5" t="s">
        <v>52</v>
      </c>
      <c r="E60" s="3" t="s">
        <v>17</v>
      </c>
      <c r="F60" s="3">
        <v>4</v>
      </c>
      <c r="G60" s="6">
        <v>14</v>
      </c>
      <c r="H60" s="6">
        <f t="shared" si="3"/>
        <v>56</v>
      </c>
      <c r="I60" s="3" t="s">
        <v>13</v>
      </c>
      <c r="J60" s="3" t="s">
        <v>27</v>
      </c>
    </row>
    <row r="61" spans="1:10" x14ac:dyDescent="0.35">
      <c r="A61" s="3" t="s">
        <v>95</v>
      </c>
      <c r="B61" s="4">
        <v>46268</v>
      </c>
      <c r="C61" s="3" t="str">
        <f t="shared" si="2"/>
        <v>Sep 2026</v>
      </c>
      <c r="D61" s="5" t="s">
        <v>31</v>
      </c>
      <c r="E61" s="3" t="s">
        <v>12</v>
      </c>
      <c r="F61" s="3">
        <v>3</v>
      </c>
      <c r="G61" s="6">
        <v>11</v>
      </c>
      <c r="H61" s="6">
        <f t="shared" si="3"/>
        <v>33</v>
      </c>
      <c r="I61" s="3" t="s">
        <v>33</v>
      </c>
      <c r="J61" s="3" t="s">
        <v>14</v>
      </c>
    </row>
    <row r="62" spans="1:10" x14ac:dyDescent="0.35">
      <c r="A62" s="3" t="s">
        <v>96</v>
      </c>
      <c r="B62" s="4">
        <v>46269</v>
      </c>
      <c r="C62" s="3" t="str">
        <f t="shared" si="2"/>
        <v>Sep 2026</v>
      </c>
      <c r="D62" s="5" t="s">
        <v>52</v>
      </c>
      <c r="E62" s="3" t="s">
        <v>17</v>
      </c>
      <c r="F62" s="3">
        <v>2</v>
      </c>
      <c r="G62" s="6">
        <v>14</v>
      </c>
      <c r="H62" s="6">
        <f t="shared" si="3"/>
        <v>28</v>
      </c>
      <c r="I62" s="3" t="s">
        <v>13</v>
      </c>
      <c r="J62" s="3" t="s">
        <v>27</v>
      </c>
    </row>
    <row r="63" spans="1:10" x14ac:dyDescent="0.35">
      <c r="A63" s="3" t="s">
        <v>97</v>
      </c>
      <c r="B63" s="4">
        <v>46271</v>
      </c>
      <c r="C63" s="3" t="str">
        <f t="shared" si="2"/>
        <v>Sep 2026</v>
      </c>
      <c r="D63" s="5" t="s">
        <v>49</v>
      </c>
      <c r="E63" s="3" t="s">
        <v>17</v>
      </c>
      <c r="F63" s="3">
        <v>2</v>
      </c>
      <c r="G63" s="6">
        <v>5</v>
      </c>
      <c r="H63" s="6">
        <f t="shared" si="3"/>
        <v>10</v>
      </c>
      <c r="I63" s="3" t="s">
        <v>18</v>
      </c>
      <c r="J63" s="3" t="s">
        <v>37</v>
      </c>
    </row>
    <row r="64" spans="1:10" x14ac:dyDescent="0.35">
      <c r="A64" s="3" t="s">
        <v>98</v>
      </c>
      <c r="B64" s="4">
        <v>46272</v>
      </c>
      <c r="C64" s="3" t="str">
        <f t="shared" si="2"/>
        <v>Sep 2026</v>
      </c>
      <c r="D64" s="5" t="s">
        <v>43</v>
      </c>
      <c r="E64" s="3" t="s">
        <v>36</v>
      </c>
      <c r="F64" s="3">
        <v>2</v>
      </c>
      <c r="G64" s="6">
        <v>3</v>
      </c>
      <c r="H64" s="6">
        <f t="shared" si="3"/>
        <v>6</v>
      </c>
      <c r="I64" s="3" t="s">
        <v>33</v>
      </c>
      <c r="J64" s="3" t="s">
        <v>27</v>
      </c>
    </row>
    <row r="65" spans="1:10" x14ac:dyDescent="0.35">
      <c r="A65" s="3" t="s">
        <v>99</v>
      </c>
      <c r="B65" s="4">
        <v>46272</v>
      </c>
      <c r="C65" s="3" t="str">
        <f t="shared" si="2"/>
        <v>Sep 2026</v>
      </c>
      <c r="D65" s="5" t="s">
        <v>52</v>
      </c>
      <c r="E65" s="3" t="s">
        <v>17</v>
      </c>
      <c r="F65" s="3">
        <v>1</v>
      </c>
      <c r="G65" s="6">
        <v>14</v>
      </c>
      <c r="H65" s="6">
        <f t="shared" si="3"/>
        <v>14</v>
      </c>
      <c r="I65" s="3" t="s">
        <v>23</v>
      </c>
      <c r="J65" s="3" t="s">
        <v>14</v>
      </c>
    </row>
    <row r="66" spans="1:10" x14ac:dyDescent="0.35">
      <c r="A66" s="3" t="s">
        <v>100</v>
      </c>
      <c r="B66" s="4">
        <v>46273</v>
      </c>
      <c r="C66" s="3" t="str">
        <f t="shared" ref="C66:C91" si="4">TEXT(B66,"mmm yyyy")</f>
        <v>Sep 2026</v>
      </c>
      <c r="D66" s="5" t="s">
        <v>11</v>
      </c>
      <c r="E66" s="3" t="s">
        <v>12</v>
      </c>
      <c r="F66" s="3">
        <v>1</v>
      </c>
      <c r="G66" s="6">
        <v>9</v>
      </c>
      <c r="H66" s="6">
        <f t="shared" ref="H66:H91" si="5">F66*G66</f>
        <v>9</v>
      </c>
      <c r="I66" s="3" t="s">
        <v>18</v>
      </c>
      <c r="J66" s="3" t="s">
        <v>37</v>
      </c>
    </row>
    <row r="67" spans="1:10" x14ac:dyDescent="0.35">
      <c r="A67" s="3" t="s">
        <v>101</v>
      </c>
      <c r="B67" s="4">
        <v>46274</v>
      </c>
      <c r="C67" s="3" t="str">
        <f t="shared" si="4"/>
        <v>Sep 2026</v>
      </c>
      <c r="D67" s="5" t="s">
        <v>40</v>
      </c>
      <c r="E67" s="3" t="s">
        <v>22</v>
      </c>
      <c r="F67" s="3">
        <v>3</v>
      </c>
      <c r="G67" s="6">
        <v>6</v>
      </c>
      <c r="H67" s="6">
        <f t="shared" si="5"/>
        <v>18</v>
      </c>
      <c r="I67" s="3" t="s">
        <v>18</v>
      </c>
      <c r="J67" s="3" t="s">
        <v>27</v>
      </c>
    </row>
    <row r="68" spans="1:10" x14ac:dyDescent="0.35">
      <c r="A68" s="3" t="s">
        <v>102</v>
      </c>
      <c r="B68" s="4">
        <v>46274</v>
      </c>
      <c r="C68" s="3" t="str">
        <f t="shared" si="4"/>
        <v>Sep 2026</v>
      </c>
      <c r="D68" s="5" t="s">
        <v>52</v>
      </c>
      <c r="E68" s="3" t="s">
        <v>17</v>
      </c>
      <c r="F68" s="3">
        <v>4</v>
      </c>
      <c r="G68" s="6">
        <v>14</v>
      </c>
      <c r="H68" s="6">
        <f t="shared" si="5"/>
        <v>56</v>
      </c>
      <c r="I68" s="3" t="s">
        <v>18</v>
      </c>
      <c r="J68" s="3" t="s">
        <v>27</v>
      </c>
    </row>
    <row r="69" spans="1:10" x14ac:dyDescent="0.35">
      <c r="A69" s="3" t="s">
        <v>103</v>
      </c>
      <c r="B69" s="4">
        <v>46275</v>
      </c>
      <c r="C69" s="3" t="str">
        <f t="shared" si="4"/>
        <v>Sep 2026</v>
      </c>
      <c r="D69" s="5" t="s">
        <v>49</v>
      </c>
      <c r="E69" s="3" t="s">
        <v>17</v>
      </c>
      <c r="F69" s="3">
        <v>3</v>
      </c>
      <c r="G69" s="6">
        <v>5</v>
      </c>
      <c r="H69" s="6">
        <f t="shared" si="5"/>
        <v>15</v>
      </c>
      <c r="I69" s="3" t="s">
        <v>13</v>
      </c>
      <c r="J69" s="3" t="s">
        <v>19</v>
      </c>
    </row>
    <row r="70" spans="1:10" x14ac:dyDescent="0.35">
      <c r="A70" s="3" t="s">
        <v>104</v>
      </c>
      <c r="B70" s="4">
        <v>46275</v>
      </c>
      <c r="C70" s="3" t="str">
        <f t="shared" si="4"/>
        <v>Sep 2026</v>
      </c>
      <c r="D70" s="5" t="s">
        <v>49</v>
      </c>
      <c r="E70" s="3" t="s">
        <v>17</v>
      </c>
      <c r="F70" s="3">
        <v>5</v>
      </c>
      <c r="G70" s="6">
        <v>5</v>
      </c>
      <c r="H70" s="6">
        <f t="shared" si="5"/>
        <v>25</v>
      </c>
      <c r="I70" s="3" t="s">
        <v>33</v>
      </c>
      <c r="J70" s="3" t="s">
        <v>37</v>
      </c>
    </row>
    <row r="71" spans="1:10" x14ac:dyDescent="0.35">
      <c r="A71" s="3" t="s">
        <v>105</v>
      </c>
      <c r="B71" s="4">
        <v>46276</v>
      </c>
      <c r="C71" s="3" t="str">
        <f t="shared" si="4"/>
        <v>Sep 2026</v>
      </c>
      <c r="D71" s="5" t="s">
        <v>31</v>
      </c>
      <c r="E71" s="3" t="s">
        <v>12</v>
      </c>
      <c r="F71" s="3">
        <v>5</v>
      </c>
      <c r="G71" s="6">
        <v>11</v>
      </c>
      <c r="H71" s="6">
        <f t="shared" si="5"/>
        <v>55</v>
      </c>
      <c r="I71" s="3" t="s">
        <v>23</v>
      </c>
      <c r="J71" s="3" t="s">
        <v>37</v>
      </c>
    </row>
    <row r="72" spans="1:10" x14ac:dyDescent="0.35">
      <c r="A72" s="3" t="s">
        <v>106</v>
      </c>
      <c r="B72" s="4">
        <v>46276</v>
      </c>
      <c r="C72" s="3" t="str">
        <f t="shared" si="4"/>
        <v>Sep 2026</v>
      </c>
      <c r="D72" s="5" t="s">
        <v>49</v>
      </c>
      <c r="E72" s="3" t="s">
        <v>17</v>
      </c>
      <c r="F72" s="3">
        <v>2</v>
      </c>
      <c r="G72" s="6">
        <v>5</v>
      </c>
      <c r="H72" s="6">
        <f t="shared" si="5"/>
        <v>10</v>
      </c>
      <c r="I72" s="3" t="s">
        <v>33</v>
      </c>
      <c r="J72" s="3" t="s">
        <v>27</v>
      </c>
    </row>
    <row r="73" spans="1:10" x14ac:dyDescent="0.35">
      <c r="A73" s="3" t="s">
        <v>107</v>
      </c>
      <c r="B73" s="4">
        <v>46277</v>
      </c>
      <c r="C73" s="3" t="str">
        <f t="shared" si="4"/>
        <v>Sep 2026</v>
      </c>
      <c r="D73" s="5" t="s">
        <v>16</v>
      </c>
      <c r="E73" s="3" t="s">
        <v>17</v>
      </c>
      <c r="F73" s="3">
        <v>4</v>
      </c>
      <c r="G73" s="6">
        <v>7</v>
      </c>
      <c r="H73" s="6">
        <f t="shared" si="5"/>
        <v>28</v>
      </c>
      <c r="I73" s="3" t="s">
        <v>23</v>
      </c>
      <c r="J73" s="3" t="s">
        <v>27</v>
      </c>
    </row>
    <row r="74" spans="1:10" x14ac:dyDescent="0.35">
      <c r="A74" s="3" t="s">
        <v>108</v>
      </c>
      <c r="B74" s="4">
        <v>46277</v>
      </c>
      <c r="C74" s="3" t="str">
        <f t="shared" si="4"/>
        <v>Sep 2026</v>
      </c>
      <c r="D74" s="5" t="s">
        <v>57</v>
      </c>
      <c r="E74" s="3" t="s">
        <v>26</v>
      </c>
      <c r="F74" s="3">
        <v>2</v>
      </c>
      <c r="G74" s="6">
        <v>3.5</v>
      </c>
      <c r="H74" s="6">
        <f t="shared" si="5"/>
        <v>7</v>
      </c>
      <c r="I74" s="3" t="s">
        <v>33</v>
      </c>
      <c r="J74" s="3" t="s">
        <v>27</v>
      </c>
    </row>
    <row r="75" spans="1:10" x14ac:dyDescent="0.35">
      <c r="A75" s="3" t="s">
        <v>109</v>
      </c>
      <c r="B75" s="4">
        <v>46277</v>
      </c>
      <c r="C75" s="3" t="str">
        <f t="shared" si="4"/>
        <v>Sep 2026</v>
      </c>
      <c r="D75" s="5" t="s">
        <v>40</v>
      </c>
      <c r="E75" s="3" t="s">
        <v>22</v>
      </c>
      <c r="F75" s="3">
        <v>6</v>
      </c>
      <c r="G75" s="6">
        <v>6</v>
      </c>
      <c r="H75" s="6">
        <f t="shared" si="5"/>
        <v>36</v>
      </c>
      <c r="I75" s="3" t="s">
        <v>23</v>
      </c>
      <c r="J75" s="3" t="s">
        <v>27</v>
      </c>
    </row>
    <row r="76" spans="1:10" x14ac:dyDescent="0.35">
      <c r="A76" s="3" t="s">
        <v>110</v>
      </c>
      <c r="B76" s="4">
        <v>46277</v>
      </c>
      <c r="C76" s="3" t="str">
        <f t="shared" si="4"/>
        <v>Sep 2026</v>
      </c>
      <c r="D76" s="5" t="s">
        <v>11</v>
      </c>
      <c r="E76" s="3" t="s">
        <v>12</v>
      </c>
      <c r="F76" s="3">
        <v>2</v>
      </c>
      <c r="G76" s="6">
        <v>9</v>
      </c>
      <c r="H76" s="6">
        <f t="shared" si="5"/>
        <v>18</v>
      </c>
      <c r="I76" s="3" t="s">
        <v>23</v>
      </c>
      <c r="J76" s="3" t="s">
        <v>37</v>
      </c>
    </row>
    <row r="77" spans="1:10" x14ac:dyDescent="0.35">
      <c r="A77" s="3" t="s">
        <v>111</v>
      </c>
      <c r="B77" s="4">
        <v>46278</v>
      </c>
      <c r="C77" s="3" t="str">
        <f t="shared" si="4"/>
        <v>Sep 2026</v>
      </c>
      <c r="D77" s="5" t="s">
        <v>29</v>
      </c>
      <c r="E77" s="3" t="s">
        <v>22</v>
      </c>
      <c r="F77" s="3">
        <v>2</v>
      </c>
      <c r="G77" s="6">
        <v>4.5</v>
      </c>
      <c r="H77" s="6">
        <f t="shared" si="5"/>
        <v>9</v>
      </c>
      <c r="I77" s="3" t="s">
        <v>33</v>
      </c>
      <c r="J77" s="3" t="s">
        <v>37</v>
      </c>
    </row>
    <row r="78" spans="1:10" x14ac:dyDescent="0.35">
      <c r="A78" s="3" t="s">
        <v>112</v>
      </c>
      <c r="B78" s="4">
        <v>46278</v>
      </c>
      <c r="C78" s="3" t="str">
        <f t="shared" si="4"/>
        <v>Sep 2026</v>
      </c>
      <c r="D78" s="5" t="s">
        <v>31</v>
      </c>
      <c r="E78" s="3" t="s">
        <v>12</v>
      </c>
      <c r="F78" s="3">
        <v>1</v>
      </c>
      <c r="G78" s="6">
        <v>11</v>
      </c>
      <c r="H78" s="6">
        <f t="shared" si="5"/>
        <v>11</v>
      </c>
      <c r="I78" s="3" t="s">
        <v>33</v>
      </c>
      <c r="J78" s="3" t="s">
        <v>14</v>
      </c>
    </row>
    <row r="79" spans="1:10" x14ac:dyDescent="0.35">
      <c r="A79" s="3" t="s">
        <v>113</v>
      </c>
      <c r="B79" s="4">
        <v>46278</v>
      </c>
      <c r="C79" s="3" t="str">
        <f t="shared" si="4"/>
        <v>Sep 2026</v>
      </c>
      <c r="D79" s="5" t="s">
        <v>43</v>
      </c>
      <c r="E79" s="3" t="s">
        <v>36</v>
      </c>
      <c r="F79" s="3">
        <v>6</v>
      </c>
      <c r="G79" s="6">
        <v>3</v>
      </c>
      <c r="H79" s="6">
        <f t="shared" si="5"/>
        <v>18</v>
      </c>
      <c r="I79" s="3" t="s">
        <v>13</v>
      </c>
      <c r="J79" s="3" t="s">
        <v>37</v>
      </c>
    </row>
    <row r="80" spans="1:10" x14ac:dyDescent="0.35">
      <c r="A80" s="3" t="s">
        <v>114</v>
      </c>
      <c r="B80" s="4">
        <v>46278</v>
      </c>
      <c r="C80" s="3" t="str">
        <f t="shared" si="4"/>
        <v>Sep 2026</v>
      </c>
      <c r="D80" s="5" t="s">
        <v>31</v>
      </c>
      <c r="E80" s="3" t="s">
        <v>12</v>
      </c>
      <c r="F80" s="3">
        <v>4</v>
      </c>
      <c r="G80" s="6">
        <v>11</v>
      </c>
      <c r="H80" s="6">
        <f t="shared" si="5"/>
        <v>44</v>
      </c>
      <c r="I80" s="3" t="s">
        <v>33</v>
      </c>
      <c r="J80" s="3" t="s">
        <v>19</v>
      </c>
    </row>
    <row r="81" spans="1:10" x14ac:dyDescent="0.35">
      <c r="A81" s="3" t="s">
        <v>115</v>
      </c>
      <c r="B81" s="4">
        <v>46278</v>
      </c>
      <c r="C81" s="3" t="str">
        <f t="shared" si="4"/>
        <v>Sep 2026</v>
      </c>
      <c r="D81" s="5" t="s">
        <v>16</v>
      </c>
      <c r="E81" s="3" t="s">
        <v>17</v>
      </c>
      <c r="F81" s="3">
        <v>2</v>
      </c>
      <c r="G81" s="6">
        <v>7</v>
      </c>
      <c r="H81" s="6">
        <f t="shared" si="5"/>
        <v>14</v>
      </c>
      <c r="I81" s="3" t="s">
        <v>23</v>
      </c>
      <c r="J81" s="3" t="s">
        <v>19</v>
      </c>
    </row>
    <row r="82" spans="1:10" x14ac:dyDescent="0.35">
      <c r="A82" s="3" t="s">
        <v>116</v>
      </c>
      <c r="B82" s="4">
        <v>46281</v>
      </c>
      <c r="C82" s="3" t="str">
        <f t="shared" si="4"/>
        <v>Sep 2026</v>
      </c>
      <c r="D82" s="5" t="s">
        <v>59</v>
      </c>
      <c r="E82" s="3" t="s">
        <v>36</v>
      </c>
      <c r="F82" s="3">
        <v>6</v>
      </c>
      <c r="G82" s="6">
        <v>8</v>
      </c>
      <c r="H82" s="6">
        <f t="shared" si="5"/>
        <v>48</v>
      </c>
      <c r="I82" s="3" t="s">
        <v>23</v>
      </c>
      <c r="J82" s="3" t="s">
        <v>27</v>
      </c>
    </row>
    <row r="83" spans="1:10" x14ac:dyDescent="0.35">
      <c r="A83" s="3" t="s">
        <v>117</v>
      </c>
      <c r="B83" s="4">
        <v>46283</v>
      </c>
      <c r="C83" s="3" t="str">
        <f t="shared" si="4"/>
        <v>Sep 2026</v>
      </c>
      <c r="D83" s="5" t="s">
        <v>21</v>
      </c>
      <c r="E83" s="3" t="s">
        <v>22</v>
      </c>
      <c r="F83" s="3">
        <v>5</v>
      </c>
      <c r="G83" s="6">
        <v>12</v>
      </c>
      <c r="H83" s="6">
        <f t="shared" si="5"/>
        <v>60</v>
      </c>
      <c r="I83" s="3" t="s">
        <v>33</v>
      </c>
      <c r="J83" s="3" t="s">
        <v>14</v>
      </c>
    </row>
    <row r="84" spans="1:10" x14ac:dyDescent="0.35">
      <c r="A84" s="3" t="s">
        <v>118</v>
      </c>
      <c r="B84" s="4">
        <v>46284</v>
      </c>
      <c r="C84" s="3" t="str">
        <f t="shared" si="4"/>
        <v>Sep 2026</v>
      </c>
      <c r="D84" s="5" t="s">
        <v>31</v>
      </c>
      <c r="E84" s="3" t="s">
        <v>12</v>
      </c>
      <c r="F84" s="3">
        <v>1</v>
      </c>
      <c r="G84" s="6">
        <v>11</v>
      </c>
      <c r="H84" s="6">
        <f t="shared" si="5"/>
        <v>11</v>
      </c>
      <c r="I84" s="3" t="s">
        <v>33</v>
      </c>
      <c r="J84" s="3" t="s">
        <v>19</v>
      </c>
    </row>
    <row r="85" spans="1:10" x14ac:dyDescent="0.35">
      <c r="A85" s="3" t="s">
        <v>119</v>
      </c>
      <c r="B85" s="4">
        <v>46284</v>
      </c>
      <c r="C85" s="3" t="str">
        <f t="shared" si="4"/>
        <v>Sep 2026</v>
      </c>
      <c r="D85" s="5" t="s">
        <v>52</v>
      </c>
      <c r="E85" s="3" t="s">
        <v>17</v>
      </c>
      <c r="F85" s="3">
        <v>5</v>
      </c>
      <c r="G85" s="6">
        <v>14</v>
      </c>
      <c r="H85" s="6">
        <f t="shared" si="5"/>
        <v>70</v>
      </c>
      <c r="I85" s="3" t="s">
        <v>23</v>
      </c>
      <c r="J85" s="3" t="s">
        <v>27</v>
      </c>
    </row>
    <row r="86" spans="1:10" x14ac:dyDescent="0.35">
      <c r="A86" s="3" t="s">
        <v>120</v>
      </c>
      <c r="B86" s="4">
        <v>46285</v>
      </c>
      <c r="C86" s="3" t="str">
        <f t="shared" si="4"/>
        <v>Sep 2026</v>
      </c>
      <c r="D86" s="5" t="s">
        <v>59</v>
      </c>
      <c r="E86" s="3" t="s">
        <v>36</v>
      </c>
      <c r="F86" s="3">
        <v>2</v>
      </c>
      <c r="G86" s="6">
        <v>8</v>
      </c>
      <c r="H86" s="6">
        <f t="shared" si="5"/>
        <v>16</v>
      </c>
      <c r="I86" s="3" t="s">
        <v>18</v>
      </c>
      <c r="J86" s="3" t="s">
        <v>27</v>
      </c>
    </row>
    <row r="87" spans="1:10" x14ac:dyDescent="0.35">
      <c r="A87" s="3" t="s">
        <v>121</v>
      </c>
      <c r="B87" s="4">
        <v>46287</v>
      </c>
      <c r="C87" s="3" t="str">
        <f t="shared" si="4"/>
        <v>Sep 2026</v>
      </c>
      <c r="D87" s="5" t="s">
        <v>29</v>
      </c>
      <c r="E87" s="3" t="s">
        <v>22</v>
      </c>
      <c r="F87" s="3">
        <v>3</v>
      </c>
      <c r="G87" s="6">
        <v>4.5</v>
      </c>
      <c r="H87" s="6">
        <f t="shared" si="5"/>
        <v>13.5</v>
      </c>
      <c r="I87" s="3" t="s">
        <v>18</v>
      </c>
      <c r="J87" s="3" t="s">
        <v>37</v>
      </c>
    </row>
    <row r="88" spans="1:10" x14ac:dyDescent="0.35">
      <c r="A88" s="3" t="s">
        <v>122</v>
      </c>
      <c r="B88" s="4">
        <v>46291</v>
      </c>
      <c r="C88" s="3" t="str">
        <f t="shared" si="4"/>
        <v>Sep 2026</v>
      </c>
      <c r="D88" s="5" t="s">
        <v>29</v>
      </c>
      <c r="E88" s="3" t="s">
        <v>22</v>
      </c>
      <c r="F88" s="3">
        <v>2</v>
      </c>
      <c r="G88" s="6">
        <v>4.5</v>
      </c>
      <c r="H88" s="6">
        <f t="shared" si="5"/>
        <v>9</v>
      </c>
      <c r="I88" s="3" t="s">
        <v>33</v>
      </c>
      <c r="J88" s="3" t="s">
        <v>19</v>
      </c>
    </row>
    <row r="89" spans="1:10" x14ac:dyDescent="0.35">
      <c r="A89" s="3" t="s">
        <v>123</v>
      </c>
      <c r="B89" s="4">
        <v>46291</v>
      </c>
      <c r="C89" s="3" t="str">
        <f t="shared" si="4"/>
        <v>Sep 2026</v>
      </c>
      <c r="D89" s="5" t="s">
        <v>16</v>
      </c>
      <c r="E89" s="3" t="s">
        <v>17</v>
      </c>
      <c r="F89" s="3">
        <v>2</v>
      </c>
      <c r="G89" s="6">
        <v>7</v>
      </c>
      <c r="H89" s="6">
        <f t="shared" si="5"/>
        <v>14</v>
      </c>
      <c r="I89" s="3" t="s">
        <v>33</v>
      </c>
      <c r="J89" s="3" t="s">
        <v>19</v>
      </c>
    </row>
    <row r="90" spans="1:10" x14ac:dyDescent="0.35">
      <c r="A90" s="3" t="s">
        <v>124</v>
      </c>
      <c r="B90" s="4">
        <v>46293</v>
      </c>
      <c r="C90" s="3" t="str">
        <f t="shared" si="4"/>
        <v>Sep 2026</v>
      </c>
      <c r="D90" s="5" t="s">
        <v>59</v>
      </c>
      <c r="E90" s="3" t="s">
        <v>36</v>
      </c>
      <c r="F90" s="3">
        <v>3</v>
      </c>
      <c r="G90" s="6">
        <v>8</v>
      </c>
      <c r="H90" s="6">
        <f t="shared" si="5"/>
        <v>24</v>
      </c>
      <c r="I90" s="3" t="s">
        <v>18</v>
      </c>
      <c r="J90" s="3" t="s">
        <v>37</v>
      </c>
    </row>
    <row r="91" spans="1:10" x14ac:dyDescent="0.35">
      <c r="A91" s="3" t="s">
        <v>125</v>
      </c>
      <c r="B91" s="4">
        <v>46295</v>
      </c>
      <c r="C91" s="3" t="str">
        <f t="shared" si="4"/>
        <v>Sep 2026</v>
      </c>
      <c r="D91" s="5" t="s">
        <v>16</v>
      </c>
      <c r="E91" s="3" t="s">
        <v>17</v>
      </c>
      <c r="F91" s="3">
        <v>1</v>
      </c>
      <c r="G91" s="6">
        <v>7</v>
      </c>
      <c r="H91" s="6">
        <f t="shared" si="5"/>
        <v>7</v>
      </c>
      <c r="I91" s="3" t="s">
        <v>23</v>
      </c>
      <c r="J91" s="3" t="s">
        <v>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383F-3D8F-4EBC-A04E-822932D6C504}">
  <dimension ref="A1:J91"/>
  <sheetViews>
    <sheetView topLeftCell="A77" zoomScale="49" zoomScaleNormal="40" workbookViewId="0">
      <selection activeCell="G191" sqref="G191"/>
    </sheetView>
  </sheetViews>
  <sheetFormatPr defaultColWidth="32.36328125" defaultRowHeight="14.5" x14ac:dyDescent="0.35"/>
  <cols>
    <col min="1" max="16384" width="32.36328125" style="11"/>
  </cols>
  <sheetData>
    <row r="1" spans="1:10" s="12" customFormat="1" x14ac:dyDescent="0.35">
      <c r="A1" s="12" t="s">
        <v>0</v>
      </c>
      <c r="B1" s="12" t="s">
        <v>138</v>
      </c>
      <c r="C1" s="12" t="s">
        <v>139</v>
      </c>
      <c r="D1" s="12" t="s">
        <v>140</v>
      </c>
      <c r="E1" s="12" t="s">
        <v>141</v>
      </c>
      <c r="F1" s="12" t="s">
        <v>142</v>
      </c>
      <c r="G1" s="12" t="s">
        <v>143</v>
      </c>
      <c r="H1" s="12" t="s">
        <v>144</v>
      </c>
      <c r="I1" s="12" t="s">
        <v>145</v>
      </c>
      <c r="J1" s="12" t="s">
        <v>146</v>
      </c>
    </row>
    <row r="2" spans="1:10" x14ac:dyDescent="0.35">
      <c r="A2" s="3" t="s">
        <v>10</v>
      </c>
      <c r="B2" s="4">
        <v>46208</v>
      </c>
      <c r="C2" s="3" t="str">
        <f t="shared" ref="C2:C65" si="0">TEXT(B2,"mmm yyyy")</f>
        <v>Jul 2026</v>
      </c>
      <c r="D2" s="8" t="s">
        <v>11</v>
      </c>
      <c r="E2" s="3" t="s">
        <v>12</v>
      </c>
      <c r="F2" s="3">
        <v>3</v>
      </c>
      <c r="G2" s="6">
        <v>9</v>
      </c>
      <c r="H2" s="6">
        <f t="shared" ref="H2:H65" si="1">F2*G2</f>
        <v>27</v>
      </c>
      <c r="I2" s="3" t="s">
        <v>13</v>
      </c>
      <c r="J2" s="3" t="s">
        <v>14</v>
      </c>
    </row>
    <row r="3" spans="1:10" x14ac:dyDescent="0.35">
      <c r="A3" s="3" t="s">
        <v>15</v>
      </c>
      <c r="B3" s="4">
        <v>46209</v>
      </c>
      <c r="C3" s="3" t="str">
        <f t="shared" si="0"/>
        <v>Jul 2026</v>
      </c>
      <c r="D3" s="8" t="s">
        <v>16</v>
      </c>
      <c r="E3" s="3" t="s">
        <v>17</v>
      </c>
      <c r="F3" s="3">
        <v>1</v>
      </c>
      <c r="G3" s="6">
        <v>7</v>
      </c>
      <c r="H3" s="6">
        <f t="shared" si="1"/>
        <v>7</v>
      </c>
      <c r="I3" s="3" t="s">
        <v>18</v>
      </c>
      <c r="J3" s="3" t="s">
        <v>19</v>
      </c>
    </row>
    <row r="4" spans="1:10" x14ac:dyDescent="0.35">
      <c r="A4" s="3" t="s">
        <v>20</v>
      </c>
      <c r="B4" s="4">
        <v>46210</v>
      </c>
      <c r="C4" s="3" t="str">
        <f t="shared" si="0"/>
        <v>Jul 2026</v>
      </c>
      <c r="D4" s="8" t="s">
        <v>21</v>
      </c>
      <c r="E4" s="3" t="s">
        <v>22</v>
      </c>
      <c r="F4" s="3">
        <v>6</v>
      </c>
      <c r="G4" s="6">
        <v>12</v>
      </c>
      <c r="H4" s="6">
        <f t="shared" si="1"/>
        <v>72</v>
      </c>
      <c r="I4" s="3" t="s">
        <v>23</v>
      </c>
      <c r="J4" s="3" t="s">
        <v>14</v>
      </c>
    </row>
    <row r="5" spans="1:10" x14ac:dyDescent="0.35">
      <c r="A5" s="3" t="s">
        <v>24</v>
      </c>
      <c r="B5" s="4">
        <v>46210</v>
      </c>
      <c r="C5" s="3" t="str">
        <f t="shared" si="0"/>
        <v>Jul 2026</v>
      </c>
      <c r="D5" s="8" t="s">
        <v>25</v>
      </c>
      <c r="E5" s="3" t="s">
        <v>26</v>
      </c>
      <c r="F5" s="3">
        <v>4</v>
      </c>
      <c r="G5" s="6">
        <v>5.5</v>
      </c>
      <c r="H5" s="6">
        <f t="shared" si="1"/>
        <v>22</v>
      </c>
      <c r="I5" s="3" t="s">
        <v>18</v>
      </c>
      <c r="J5" s="3" t="s">
        <v>27</v>
      </c>
    </row>
    <row r="6" spans="1:10" x14ac:dyDescent="0.35">
      <c r="A6" s="3" t="s">
        <v>28</v>
      </c>
      <c r="B6" s="4">
        <v>46211</v>
      </c>
      <c r="C6" s="3" t="str">
        <f t="shared" si="0"/>
        <v>Jul 2026</v>
      </c>
      <c r="D6" s="8" t="s">
        <v>29</v>
      </c>
      <c r="E6" s="3" t="s">
        <v>22</v>
      </c>
      <c r="F6" s="3">
        <v>4</v>
      </c>
      <c r="G6" s="6">
        <v>4.5</v>
      </c>
      <c r="H6" s="6">
        <f t="shared" si="1"/>
        <v>18</v>
      </c>
      <c r="I6" s="3" t="s">
        <v>18</v>
      </c>
      <c r="J6" s="3" t="s">
        <v>27</v>
      </c>
    </row>
    <row r="7" spans="1:10" x14ac:dyDescent="0.35">
      <c r="A7" s="3" t="s">
        <v>30</v>
      </c>
      <c r="B7" s="4">
        <v>46211</v>
      </c>
      <c r="C7" s="3" t="str">
        <f t="shared" si="0"/>
        <v>Jul 2026</v>
      </c>
      <c r="D7" s="8" t="s">
        <v>31</v>
      </c>
      <c r="E7" s="3" t="s">
        <v>12</v>
      </c>
      <c r="F7" s="3">
        <v>6</v>
      </c>
      <c r="G7" s="6">
        <v>11</v>
      </c>
      <c r="H7" s="6">
        <f t="shared" si="1"/>
        <v>66</v>
      </c>
      <c r="I7" s="3" t="s">
        <v>23</v>
      </c>
      <c r="J7" s="3" t="s">
        <v>14</v>
      </c>
    </row>
    <row r="8" spans="1:10" x14ac:dyDescent="0.35">
      <c r="A8" s="3" t="s">
        <v>32</v>
      </c>
      <c r="B8" s="4">
        <v>46211</v>
      </c>
      <c r="C8" s="3" t="str">
        <f t="shared" si="0"/>
        <v>Jul 2026</v>
      </c>
      <c r="D8" s="8" t="s">
        <v>29</v>
      </c>
      <c r="E8" s="3" t="s">
        <v>22</v>
      </c>
      <c r="F8" s="3">
        <v>6</v>
      </c>
      <c r="G8" s="6">
        <v>4.5</v>
      </c>
      <c r="H8" s="6">
        <f t="shared" si="1"/>
        <v>27</v>
      </c>
      <c r="I8" s="3" t="s">
        <v>33</v>
      </c>
      <c r="J8" s="3" t="s">
        <v>19</v>
      </c>
    </row>
    <row r="9" spans="1:10" x14ac:dyDescent="0.35">
      <c r="A9" s="3" t="s">
        <v>34</v>
      </c>
      <c r="B9" s="4">
        <v>46211</v>
      </c>
      <c r="C9" s="3" t="str">
        <f t="shared" si="0"/>
        <v>Jul 2026</v>
      </c>
      <c r="D9" s="8" t="s">
        <v>35</v>
      </c>
      <c r="E9" s="3" t="s">
        <v>36</v>
      </c>
      <c r="F9" s="3">
        <v>4</v>
      </c>
      <c r="G9" s="6">
        <v>2.5</v>
      </c>
      <c r="H9" s="6">
        <f t="shared" si="1"/>
        <v>10</v>
      </c>
      <c r="I9" s="3" t="s">
        <v>23</v>
      </c>
      <c r="J9" s="3" t="s">
        <v>37</v>
      </c>
    </row>
    <row r="10" spans="1:10" x14ac:dyDescent="0.35">
      <c r="A10" s="3" t="s">
        <v>38</v>
      </c>
      <c r="B10" s="4">
        <v>46212</v>
      </c>
      <c r="C10" s="3" t="str">
        <f t="shared" si="0"/>
        <v>Jul 2026</v>
      </c>
      <c r="D10" s="8" t="s">
        <v>25</v>
      </c>
      <c r="E10" s="3" t="s">
        <v>26</v>
      </c>
      <c r="F10" s="3">
        <v>1</v>
      </c>
      <c r="G10" s="6">
        <v>5.5</v>
      </c>
      <c r="H10" s="6">
        <f t="shared" si="1"/>
        <v>5.5</v>
      </c>
      <c r="I10" s="3" t="s">
        <v>33</v>
      </c>
      <c r="J10" s="3" t="s">
        <v>27</v>
      </c>
    </row>
    <row r="11" spans="1:10" x14ac:dyDescent="0.35">
      <c r="A11" s="3" t="s">
        <v>39</v>
      </c>
      <c r="B11" s="4">
        <v>46212</v>
      </c>
      <c r="C11" s="3" t="str">
        <f t="shared" si="0"/>
        <v>Jul 2026</v>
      </c>
      <c r="D11" s="8" t="s">
        <v>40</v>
      </c>
      <c r="E11" s="3" t="s">
        <v>22</v>
      </c>
      <c r="F11" s="3">
        <v>3</v>
      </c>
      <c r="G11" s="6">
        <v>6</v>
      </c>
      <c r="H11" s="6">
        <f t="shared" si="1"/>
        <v>18</v>
      </c>
      <c r="I11" s="3" t="s">
        <v>13</v>
      </c>
      <c r="J11" s="3" t="s">
        <v>37</v>
      </c>
    </row>
    <row r="12" spans="1:10" x14ac:dyDescent="0.35">
      <c r="A12" s="3" t="s">
        <v>41</v>
      </c>
      <c r="B12" s="4">
        <v>46213</v>
      </c>
      <c r="C12" s="3" t="str">
        <f t="shared" si="0"/>
        <v>Jul 2026</v>
      </c>
      <c r="D12" s="8" t="s">
        <v>16</v>
      </c>
      <c r="E12" s="3" t="s">
        <v>17</v>
      </c>
      <c r="F12" s="3">
        <v>4</v>
      </c>
      <c r="G12" s="6">
        <v>7</v>
      </c>
      <c r="H12" s="6">
        <f t="shared" si="1"/>
        <v>28</v>
      </c>
      <c r="I12" s="3" t="s">
        <v>33</v>
      </c>
      <c r="J12" s="3" t="s">
        <v>27</v>
      </c>
    </row>
    <row r="13" spans="1:10" x14ac:dyDescent="0.35">
      <c r="A13" s="3" t="s">
        <v>42</v>
      </c>
      <c r="B13" s="4">
        <v>46213</v>
      </c>
      <c r="C13" s="3" t="str">
        <f t="shared" si="0"/>
        <v>Jul 2026</v>
      </c>
      <c r="D13" s="8" t="s">
        <v>43</v>
      </c>
      <c r="E13" s="3" t="s">
        <v>36</v>
      </c>
      <c r="F13" s="3">
        <v>4</v>
      </c>
      <c r="G13" s="6">
        <v>3</v>
      </c>
      <c r="H13" s="6">
        <f t="shared" si="1"/>
        <v>12</v>
      </c>
      <c r="I13" s="3" t="s">
        <v>33</v>
      </c>
      <c r="J13" s="3" t="s">
        <v>19</v>
      </c>
    </row>
    <row r="14" spans="1:10" x14ac:dyDescent="0.35">
      <c r="A14" s="3" t="s">
        <v>44</v>
      </c>
      <c r="B14" s="4">
        <v>46214</v>
      </c>
      <c r="C14" s="3" t="str">
        <f t="shared" si="0"/>
        <v>Jul 2026</v>
      </c>
      <c r="D14" s="8" t="s">
        <v>43</v>
      </c>
      <c r="E14" s="3" t="s">
        <v>36</v>
      </c>
      <c r="F14" s="3">
        <v>4</v>
      </c>
      <c r="G14" s="6">
        <v>3</v>
      </c>
      <c r="H14" s="6">
        <f t="shared" si="1"/>
        <v>12</v>
      </c>
      <c r="I14" s="3" t="s">
        <v>23</v>
      </c>
      <c r="J14" s="3" t="s">
        <v>14</v>
      </c>
    </row>
    <row r="15" spans="1:10" x14ac:dyDescent="0.35">
      <c r="A15" s="3" t="s">
        <v>45</v>
      </c>
      <c r="B15" s="4">
        <v>46215</v>
      </c>
      <c r="C15" s="3" t="str">
        <f t="shared" si="0"/>
        <v>Jul 2026</v>
      </c>
      <c r="D15" s="8" t="s">
        <v>21</v>
      </c>
      <c r="E15" s="3" t="s">
        <v>22</v>
      </c>
      <c r="F15" s="3">
        <v>6</v>
      </c>
      <c r="G15" s="6">
        <v>12</v>
      </c>
      <c r="H15" s="6">
        <f t="shared" si="1"/>
        <v>72</v>
      </c>
      <c r="I15" s="3" t="s">
        <v>33</v>
      </c>
      <c r="J15" s="3" t="s">
        <v>37</v>
      </c>
    </row>
    <row r="16" spans="1:10" x14ac:dyDescent="0.35">
      <c r="A16" s="3" t="s">
        <v>46</v>
      </c>
      <c r="B16" s="4">
        <v>46215</v>
      </c>
      <c r="C16" s="3" t="str">
        <f t="shared" si="0"/>
        <v>Jul 2026</v>
      </c>
      <c r="D16" s="8" t="s">
        <v>43</v>
      </c>
      <c r="E16" s="3" t="s">
        <v>36</v>
      </c>
      <c r="F16" s="3">
        <v>1</v>
      </c>
      <c r="G16" s="6">
        <v>3</v>
      </c>
      <c r="H16" s="6">
        <f t="shared" si="1"/>
        <v>3</v>
      </c>
      <c r="I16" s="3" t="s">
        <v>13</v>
      </c>
      <c r="J16" s="3" t="s">
        <v>37</v>
      </c>
    </row>
    <row r="17" spans="1:10" x14ac:dyDescent="0.35">
      <c r="A17" s="3" t="s">
        <v>47</v>
      </c>
      <c r="B17" s="4">
        <v>46216</v>
      </c>
      <c r="C17" s="3" t="str">
        <f t="shared" si="0"/>
        <v>Jul 2026</v>
      </c>
      <c r="D17" s="8" t="s">
        <v>40</v>
      </c>
      <c r="E17" s="3" t="s">
        <v>22</v>
      </c>
      <c r="F17" s="3">
        <v>6</v>
      </c>
      <c r="G17" s="6">
        <v>6</v>
      </c>
      <c r="H17" s="6">
        <f t="shared" si="1"/>
        <v>36</v>
      </c>
      <c r="I17" s="3" t="s">
        <v>13</v>
      </c>
      <c r="J17" s="3" t="s">
        <v>27</v>
      </c>
    </row>
    <row r="18" spans="1:10" x14ac:dyDescent="0.35">
      <c r="A18" s="3" t="s">
        <v>48</v>
      </c>
      <c r="B18" s="4">
        <v>46216</v>
      </c>
      <c r="C18" s="3" t="str">
        <f t="shared" si="0"/>
        <v>Jul 2026</v>
      </c>
      <c r="D18" s="8" t="s">
        <v>49</v>
      </c>
      <c r="E18" s="3" t="s">
        <v>17</v>
      </c>
      <c r="F18" s="3">
        <v>5</v>
      </c>
      <c r="G18" s="6">
        <v>5</v>
      </c>
      <c r="H18" s="6">
        <f t="shared" si="1"/>
        <v>25</v>
      </c>
      <c r="I18" s="3" t="s">
        <v>13</v>
      </c>
      <c r="J18" s="3" t="s">
        <v>19</v>
      </c>
    </row>
    <row r="19" spans="1:10" x14ac:dyDescent="0.35">
      <c r="A19" s="3" t="s">
        <v>50</v>
      </c>
      <c r="B19" s="4">
        <v>46217</v>
      </c>
      <c r="C19" s="3" t="str">
        <f t="shared" si="0"/>
        <v>Jul 2026</v>
      </c>
      <c r="D19" s="8" t="s">
        <v>29</v>
      </c>
      <c r="E19" s="3" t="s">
        <v>22</v>
      </c>
      <c r="F19" s="3">
        <v>1</v>
      </c>
      <c r="G19" s="6">
        <v>4.5</v>
      </c>
      <c r="H19" s="6">
        <f t="shared" si="1"/>
        <v>4.5</v>
      </c>
      <c r="I19" s="3" t="s">
        <v>13</v>
      </c>
      <c r="J19" s="3" t="s">
        <v>14</v>
      </c>
    </row>
    <row r="20" spans="1:10" x14ac:dyDescent="0.35">
      <c r="A20" s="3" t="s">
        <v>51</v>
      </c>
      <c r="B20" s="4">
        <v>46219</v>
      </c>
      <c r="C20" s="3" t="str">
        <f t="shared" si="0"/>
        <v>Jul 2026</v>
      </c>
      <c r="D20" s="8" t="s">
        <v>52</v>
      </c>
      <c r="E20" s="3" t="s">
        <v>17</v>
      </c>
      <c r="F20" s="3">
        <v>3</v>
      </c>
      <c r="G20" s="6">
        <v>14</v>
      </c>
      <c r="H20" s="6">
        <f t="shared" si="1"/>
        <v>42</v>
      </c>
      <c r="I20" s="3" t="s">
        <v>23</v>
      </c>
      <c r="J20" s="3" t="s">
        <v>37</v>
      </c>
    </row>
    <row r="21" spans="1:10" x14ac:dyDescent="0.35">
      <c r="A21" s="3" t="s">
        <v>53</v>
      </c>
      <c r="B21" s="4">
        <v>46219</v>
      </c>
      <c r="C21" s="3" t="str">
        <f t="shared" si="0"/>
        <v>Jul 2026</v>
      </c>
      <c r="D21" s="8" t="s">
        <v>31</v>
      </c>
      <c r="E21" s="3" t="s">
        <v>12</v>
      </c>
      <c r="F21" s="3">
        <v>5</v>
      </c>
      <c r="G21" s="6">
        <v>11</v>
      </c>
      <c r="H21" s="6">
        <f t="shared" si="1"/>
        <v>55</v>
      </c>
      <c r="I21" s="3" t="s">
        <v>18</v>
      </c>
      <c r="J21" s="3" t="s">
        <v>14</v>
      </c>
    </row>
    <row r="22" spans="1:10" x14ac:dyDescent="0.35">
      <c r="A22" s="3" t="s">
        <v>54</v>
      </c>
      <c r="B22" s="4">
        <v>46219</v>
      </c>
      <c r="C22" s="3" t="str">
        <f t="shared" si="0"/>
        <v>Jul 2026</v>
      </c>
      <c r="D22" s="8" t="s">
        <v>11</v>
      </c>
      <c r="E22" s="3" t="s">
        <v>12</v>
      </c>
      <c r="F22" s="3">
        <v>6</v>
      </c>
      <c r="G22" s="6">
        <v>9</v>
      </c>
      <c r="H22" s="6">
        <f t="shared" si="1"/>
        <v>54</v>
      </c>
      <c r="I22" s="3" t="s">
        <v>33</v>
      </c>
      <c r="J22" s="3" t="s">
        <v>14</v>
      </c>
    </row>
    <row r="23" spans="1:10" x14ac:dyDescent="0.35">
      <c r="A23" s="3" t="s">
        <v>55</v>
      </c>
      <c r="B23" s="4">
        <v>46221</v>
      </c>
      <c r="C23" s="3" t="str">
        <f t="shared" si="0"/>
        <v>Jul 2026</v>
      </c>
      <c r="D23" s="8" t="s">
        <v>16</v>
      </c>
      <c r="E23" s="3" t="s">
        <v>17</v>
      </c>
      <c r="F23" s="3">
        <v>4</v>
      </c>
      <c r="G23" s="6">
        <v>7</v>
      </c>
      <c r="H23" s="6">
        <f t="shared" si="1"/>
        <v>28</v>
      </c>
      <c r="I23" s="3" t="s">
        <v>18</v>
      </c>
      <c r="J23" s="3" t="s">
        <v>14</v>
      </c>
    </row>
    <row r="24" spans="1:10" x14ac:dyDescent="0.35">
      <c r="A24" s="3" t="s">
        <v>56</v>
      </c>
      <c r="B24" s="4">
        <v>46222</v>
      </c>
      <c r="C24" s="3" t="str">
        <f t="shared" si="0"/>
        <v>Jul 2026</v>
      </c>
      <c r="D24" s="8" t="s">
        <v>57</v>
      </c>
      <c r="E24" s="3" t="s">
        <v>26</v>
      </c>
      <c r="F24" s="3">
        <v>4</v>
      </c>
      <c r="G24" s="6">
        <v>3.5</v>
      </c>
      <c r="H24" s="6">
        <f t="shared" si="1"/>
        <v>14</v>
      </c>
      <c r="I24" s="3" t="s">
        <v>18</v>
      </c>
      <c r="J24" s="3" t="s">
        <v>37</v>
      </c>
    </row>
    <row r="25" spans="1:10" x14ac:dyDescent="0.35">
      <c r="A25" s="3" t="s">
        <v>58</v>
      </c>
      <c r="B25" s="4">
        <v>46223</v>
      </c>
      <c r="C25" s="3" t="str">
        <f t="shared" si="0"/>
        <v>Jul 2026</v>
      </c>
      <c r="D25" s="8" t="s">
        <v>59</v>
      </c>
      <c r="E25" s="3" t="s">
        <v>36</v>
      </c>
      <c r="F25" s="3">
        <v>2</v>
      </c>
      <c r="G25" s="6">
        <v>8</v>
      </c>
      <c r="H25" s="6">
        <f t="shared" si="1"/>
        <v>16</v>
      </c>
      <c r="I25" s="3" t="s">
        <v>33</v>
      </c>
      <c r="J25" s="3" t="s">
        <v>37</v>
      </c>
    </row>
    <row r="26" spans="1:10" x14ac:dyDescent="0.35">
      <c r="A26" s="3" t="s">
        <v>60</v>
      </c>
      <c r="B26" s="4">
        <v>46225</v>
      </c>
      <c r="C26" s="3" t="str">
        <f t="shared" si="0"/>
        <v>Jul 2026</v>
      </c>
      <c r="D26" s="8" t="s">
        <v>59</v>
      </c>
      <c r="E26" s="3" t="s">
        <v>36</v>
      </c>
      <c r="F26" s="3">
        <v>3</v>
      </c>
      <c r="G26" s="6">
        <v>8</v>
      </c>
      <c r="H26" s="6">
        <f t="shared" si="1"/>
        <v>24</v>
      </c>
      <c r="I26" s="3" t="s">
        <v>18</v>
      </c>
      <c r="J26" s="3" t="s">
        <v>27</v>
      </c>
    </row>
    <row r="27" spans="1:10" x14ac:dyDescent="0.35">
      <c r="A27" s="3" t="s">
        <v>61</v>
      </c>
      <c r="B27" s="4">
        <v>46227</v>
      </c>
      <c r="C27" s="3" t="str">
        <f t="shared" si="0"/>
        <v>Jul 2026</v>
      </c>
      <c r="D27" s="8" t="s">
        <v>35</v>
      </c>
      <c r="E27" s="3" t="s">
        <v>36</v>
      </c>
      <c r="F27" s="3">
        <v>5</v>
      </c>
      <c r="G27" s="6">
        <v>2.5</v>
      </c>
      <c r="H27" s="6">
        <f t="shared" si="1"/>
        <v>12.5</v>
      </c>
      <c r="I27" s="3" t="s">
        <v>13</v>
      </c>
      <c r="J27" s="3" t="s">
        <v>27</v>
      </c>
    </row>
    <row r="28" spans="1:10" x14ac:dyDescent="0.35">
      <c r="A28" s="3" t="s">
        <v>62</v>
      </c>
      <c r="B28" s="4">
        <v>46227</v>
      </c>
      <c r="C28" s="3" t="str">
        <f t="shared" si="0"/>
        <v>Jul 2026</v>
      </c>
      <c r="D28" s="8" t="s">
        <v>21</v>
      </c>
      <c r="E28" s="3" t="s">
        <v>22</v>
      </c>
      <c r="F28" s="3">
        <v>5</v>
      </c>
      <c r="G28" s="6">
        <v>12</v>
      </c>
      <c r="H28" s="6">
        <f t="shared" si="1"/>
        <v>60</v>
      </c>
      <c r="I28" s="3" t="s">
        <v>18</v>
      </c>
      <c r="J28" s="3" t="s">
        <v>27</v>
      </c>
    </row>
    <row r="29" spans="1:10" x14ac:dyDescent="0.35">
      <c r="A29" s="3" t="s">
        <v>63</v>
      </c>
      <c r="B29" s="4">
        <v>46228</v>
      </c>
      <c r="C29" s="3" t="str">
        <f t="shared" si="0"/>
        <v>Jul 2026</v>
      </c>
      <c r="D29" s="8" t="s">
        <v>40</v>
      </c>
      <c r="E29" s="3" t="s">
        <v>22</v>
      </c>
      <c r="F29" s="3">
        <v>5</v>
      </c>
      <c r="G29" s="6">
        <v>6</v>
      </c>
      <c r="H29" s="6">
        <f t="shared" si="1"/>
        <v>30</v>
      </c>
      <c r="I29" s="3" t="s">
        <v>33</v>
      </c>
      <c r="J29" s="3" t="s">
        <v>37</v>
      </c>
    </row>
    <row r="30" spans="1:10" x14ac:dyDescent="0.35">
      <c r="A30" s="3" t="s">
        <v>64</v>
      </c>
      <c r="B30" s="4">
        <v>46230</v>
      </c>
      <c r="C30" s="3" t="str">
        <f t="shared" si="0"/>
        <v>Jul 2026</v>
      </c>
      <c r="D30" s="8" t="s">
        <v>57</v>
      </c>
      <c r="E30" s="3" t="s">
        <v>26</v>
      </c>
      <c r="F30" s="3">
        <v>3</v>
      </c>
      <c r="G30" s="6">
        <v>3.5</v>
      </c>
      <c r="H30" s="6">
        <f t="shared" si="1"/>
        <v>10.5</v>
      </c>
      <c r="I30" s="3" t="s">
        <v>23</v>
      </c>
      <c r="J30" s="3" t="s">
        <v>19</v>
      </c>
    </row>
    <row r="31" spans="1:10" x14ac:dyDescent="0.35">
      <c r="A31" s="3" t="s">
        <v>65</v>
      </c>
      <c r="B31" s="4">
        <v>46231</v>
      </c>
      <c r="C31" s="3" t="str">
        <f t="shared" si="0"/>
        <v>Jul 2026</v>
      </c>
      <c r="D31" s="8" t="s">
        <v>49</v>
      </c>
      <c r="E31" s="3" t="s">
        <v>17</v>
      </c>
      <c r="F31" s="3">
        <v>1</v>
      </c>
      <c r="G31" s="6">
        <v>5</v>
      </c>
      <c r="H31" s="6">
        <f t="shared" si="1"/>
        <v>5</v>
      </c>
      <c r="I31" s="3" t="s">
        <v>18</v>
      </c>
      <c r="J31" s="3" t="s">
        <v>14</v>
      </c>
    </row>
    <row r="32" spans="1:10" x14ac:dyDescent="0.35">
      <c r="A32" s="3" t="s">
        <v>66</v>
      </c>
      <c r="B32" s="4">
        <v>46232</v>
      </c>
      <c r="C32" s="3" t="str">
        <f t="shared" si="0"/>
        <v>Jul 2026</v>
      </c>
      <c r="D32" s="8" t="s">
        <v>49</v>
      </c>
      <c r="E32" s="3" t="s">
        <v>17</v>
      </c>
      <c r="F32" s="3">
        <v>4</v>
      </c>
      <c r="G32" s="6">
        <v>5</v>
      </c>
      <c r="H32" s="6">
        <f t="shared" si="1"/>
        <v>20</v>
      </c>
      <c r="I32" s="3" t="s">
        <v>33</v>
      </c>
      <c r="J32" s="3" t="s">
        <v>19</v>
      </c>
    </row>
    <row r="33" spans="1:10" x14ac:dyDescent="0.35">
      <c r="A33" s="3" t="s">
        <v>67</v>
      </c>
      <c r="B33" s="4">
        <v>46232</v>
      </c>
      <c r="C33" s="3" t="str">
        <f t="shared" si="0"/>
        <v>Jul 2026</v>
      </c>
      <c r="D33" s="8" t="s">
        <v>59</v>
      </c>
      <c r="E33" s="3" t="s">
        <v>36</v>
      </c>
      <c r="F33" s="3">
        <v>2</v>
      </c>
      <c r="G33" s="6">
        <v>8</v>
      </c>
      <c r="H33" s="6">
        <f t="shared" si="1"/>
        <v>16</v>
      </c>
      <c r="I33" s="3" t="s">
        <v>18</v>
      </c>
      <c r="J33" s="3" t="s">
        <v>19</v>
      </c>
    </row>
    <row r="34" spans="1:10" x14ac:dyDescent="0.35">
      <c r="A34" s="3" t="s">
        <v>68</v>
      </c>
      <c r="B34" s="4">
        <v>46234</v>
      </c>
      <c r="C34" s="3" t="str">
        <f t="shared" si="0"/>
        <v>Jul 2026</v>
      </c>
      <c r="D34" s="8" t="s">
        <v>31</v>
      </c>
      <c r="E34" s="3" t="s">
        <v>12</v>
      </c>
      <c r="F34" s="3">
        <v>3</v>
      </c>
      <c r="G34" s="6">
        <v>11</v>
      </c>
      <c r="H34" s="6">
        <f t="shared" si="1"/>
        <v>33</v>
      </c>
      <c r="I34" s="3" t="s">
        <v>33</v>
      </c>
      <c r="J34" s="3" t="s">
        <v>37</v>
      </c>
    </row>
    <row r="35" spans="1:10" x14ac:dyDescent="0.35">
      <c r="A35" s="3" t="s">
        <v>69</v>
      </c>
      <c r="B35" s="4">
        <v>46235</v>
      </c>
      <c r="C35" s="3" t="str">
        <f t="shared" si="0"/>
        <v>Aug 2026</v>
      </c>
      <c r="D35" s="8" t="s">
        <v>52</v>
      </c>
      <c r="E35" s="3" t="s">
        <v>17</v>
      </c>
      <c r="F35" s="3">
        <v>1</v>
      </c>
      <c r="G35" s="6">
        <v>14</v>
      </c>
      <c r="H35" s="6">
        <f t="shared" si="1"/>
        <v>14</v>
      </c>
      <c r="I35" s="3" t="s">
        <v>13</v>
      </c>
      <c r="J35" s="3" t="s">
        <v>19</v>
      </c>
    </row>
    <row r="36" spans="1:10" x14ac:dyDescent="0.35">
      <c r="A36" s="3" t="s">
        <v>70</v>
      </c>
      <c r="B36" s="4">
        <v>46235</v>
      </c>
      <c r="C36" s="3" t="str">
        <f t="shared" si="0"/>
        <v>Aug 2026</v>
      </c>
      <c r="D36" s="8" t="s">
        <v>43</v>
      </c>
      <c r="E36" s="3" t="s">
        <v>36</v>
      </c>
      <c r="F36" s="3">
        <v>6</v>
      </c>
      <c r="G36" s="6">
        <v>3</v>
      </c>
      <c r="H36" s="6">
        <f t="shared" si="1"/>
        <v>18</v>
      </c>
      <c r="I36" s="3" t="s">
        <v>18</v>
      </c>
      <c r="J36" s="3" t="s">
        <v>19</v>
      </c>
    </row>
    <row r="37" spans="1:10" x14ac:dyDescent="0.35">
      <c r="A37" s="3" t="s">
        <v>71</v>
      </c>
      <c r="B37" s="4">
        <v>46240</v>
      </c>
      <c r="C37" s="3" t="str">
        <f t="shared" si="0"/>
        <v>Aug 2026</v>
      </c>
      <c r="D37" s="8" t="s">
        <v>57</v>
      </c>
      <c r="E37" s="3" t="s">
        <v>26</v>
      </c>
      <c r="F37" s="3">
        <v>1</v>
      </c>
      <c r="G37" s="6">
        <v>3.5</v>
      </c>
      <c r="H37" s="6">
        <f t="shared" si="1"/>
        <v>3.5</v>
      </c>
      <c r="I37" s="3" t="s">
        <v>23</v>
      </c>
      <c r="J37" s="3" t="s">
        <v>19</v>
      </c>
    </row>
    <row r="38" spans="1:10" x14ac:dyDescent="0.35">
      <c r="A38" s="3" t="s">
        <v>72</v>
      </c>
      <c r="B38" s="4">
        <v>46241</v>
      </c>
      <c r="C38" s="3" t="str">
        <f t="shared" si="0"/>
        <v>Aug 2026</v>
      </c>
      <c r="D38" s="8" t="s">
        <v>43</v>
      </c>
      <c r="E38" s="3" t="s">
        <v>36</v>
      </c>
      <c r="F38" s="3">
        <v>3</v>
      </c>
      <c r="G38" s="6">
        <v>3</v>
      </c>
      <c r="H38" s="6">
        <f t="shared" si="1"/>
        <v>9</v>
      </c>
      <c r="I38" s="3" t="s">
        <v>13</v>
      </c>
      <c r="J38" s="3" t="s">
        <v>19</v>
      </c>
    </row>
    <row r="39" spans="1:10" x14ac:dyDescent="0.35">
      <c r="A39" s="3" t="s">
        <v>73</v>
      </c>
      <c r="B39" s="4">
        <v>46242</v>
      </c>
      <c r="C39" s="3" t="str">
        <f t="shared" si="0"/>
        <v>Aug 2026</v>
      </c>
      <c r="D39" s="8" t="s">
        <v>57</v>
      </c>
      <c r="E39" s="3" t="s">
        <v>26</v>
      </c>
      <c r="F39" s="3">
        <v>2</v>
      </c>
      <c r="G39" s="6">
        <v>3.5</v>
      </c>
      <c r="H39" s="6">
        <f t="shared" si="1"/>
        <v>7</v>
      </c>
      <c r="I39" s="3" t="s">
        <v>13</v>
      </c>
      <c r="J39" s="3" t="s">
        <v>37</v>
      </c>
    </row>
    <row r="40" spans="1:10" x14ac:dyDescent="0.35">
      <c r="A40" s="3" t="s">
        <v>74</v>
      </c>
      <c r="B40" s="4">
        <v>46242</v>
      </c>
      <c r="C40" s="3" t="str">
        <f t="shared" si="0"/>
        <v>Aug 2026</v>
      </c>
      <c r="D40" s="8" t="s">
        <v>16</v>
      </c>
      <c r="E40" s="3" t="s">
        <v>17</v>
      </c>
      <c r="F40" s="3">
        <v>6</v>
      </c>
      <c r="G40" s="6">
        <v>7</v>
      </c>
      <c r="H40" s="6">
        <f t="shared" si="1"/>
        <v>42</v>
      </c>
      <c r="I40" s="3" t="s">
        <v>13</v>
      </c>
      <c r="J40" s="3" t="s">
        <v>37</v>
      </c>
    </row>
    <row r="41" spans="1:10" x14ac:dyDescent="0.35">
      <c r="A41" s="3" t="s">
        <v>75</v>
      </c>
      <c r="B41" s="4">
        <v>46243</v>
      </c>
      <c r="C41" s="3" t="str">
        <f t="shared" si="0"/>
        <v>Aug 2026</v>
      </c>
      <c r="D41" s="8" t="s">
        <v>52</v>
      </c>
      <c r="E41" s="3" t="s">
        <v>17</v>
      </c>
      <c r="F41" s="3">
        <v>4</v>
      </c>
      <c r="G41" s="6">
        <v>14</v>
      </c>
      <c r="H41" s="6">
        <f t="shared" si="1"/>
        <v>56</v>
      </c>
      <c r="I41" s="3" t="s">
        <v>23</v>
      </c>
      <c r="J41" s="3" t="s">
        <v>27</v>
      </c>
    </row>
    <row r="42" spans="1:10" x14ac:dyDescent="0.35">
      <c r="A42" s="3" t="s">
        <v>76</v>
      </c>
      <c r="B42" s="4">
        <v>46244</v>
      </c>
      <c r="C42" s="3" t="str">
        <f t="shared" si="0"/>
        <v>Aug 2026</v>
      </c>
      <c r="D42" s="8" t="s">
        <v>35</v>
      </c>
      <c r="E42" s="3" t="s">
        <v>36</v>
      </c>
      <c r="F42" s="3">
        <v>3</v>
      </c>
      <c r="G42" s="6">
        <v>2.5</v>
      </c>
      <c r="H42" s="6">
        <f t="shared" si="1"/>
        <v>7.5</v>
      </c>
      <c r="I42" s="3" t="s">
        <v>33</v>
      </c>
      <c r="J42" s="3" t="s">
        <v>19</v>
      </c>
    </row>
    <row r="43" spans="1:10" x14ac:dyDescent="0.35">
      <c r="A43" s="3" t="s">
        <v>77</v>
      </c>
      <c r="B43" s="4">
        <v>46245</v>
      </c>
      <c r="C43" s="3" t="str">
        <f t="shared" si="0"/>
        <v>Aug 2026</v>
      </c>
      <c r="D43" s="8" t="s">
        <v>40</v>
      </c>
      <c r="E43" s="3" t="s">
        <v>22</v>
      </c>
      <c r="F43" s="3">
        <v>6</v>
      </c>
      <c r="G43" s="6">
        <v>6</v>
      </c>
      <c r="H43" s="6">
        <f t="shared" si="1"/>
        <v>36</v>
      </c>
      <c r="I43" s="3" t="s">
        <v>23</v>
      </c>
      <c r="J43" s="3" t="s">
        <v>14</v>
      </c>
    </row>
    <row r="44" spans="1:10" x14ac:dyDescent="0.35">
      <c r="A44" s="3" t="s">
        <v>78</v>
      </c>
      <c r="B44" s="4">
        <v>46247</v>
      </c>
      <c r="C44" s="3" t="str">
        <f t="shared" si="0"/>
        <v>Aug 2026</v>
      </c>
      <c r="D44" s="8" t="s">
        <v>11</v>
      </c>
      <c r="E44" s="3" t="s">
        <v>12</v>
      </c>
      <c r="F44" s="3">
        <v>6</v>
      </c>
      <c r="G44" s="6">
        <v>9</v>
      </c>
      <c r="H44" s="6">
        <f t="shared" si="1"/>
        <v>54</v>
      </c>
      <c r="I44" s="3" t="s">
        <v>23</v>
      </c>
      <c r="J44" s="3" t="s">
        <v>19</v>
      </c>
    </row>
    <row r="45" spans="1:10" x14ac:dyDescent="0.35">
      <c r="A45" s="3" t="s">
        <v>79</v>
      </c>
      <c r="B45" s="4">
        <v>46250</v>
      </c>
      <c r="C45" s="3" t="str">
        <f t="shared" si="0"/>
        <v>Aug 2026</v>
      </c>
      <c r="D45" s="8" t="s">
        <v>59</v>
      </c>
      <c r="E45" s="3" t="s">
        <v>36</v>
      </c>
      <c r="F45" s="3">
        <v>2</v>
      </c>
      <c r="G45" s="6">
        <v>8</v>
      </c>
      <c r="H45" s="6">
        <f t="shared" si="1"/>
        <v>16</v>
      </c>
      <c r="I45" s="3" t="s">
        <v>18</v>
      </c>
      <c r="J45" s="3" t="s">
        <v>37</v>
      </c>
    </row>
    <row r="46" spans="1:10" x14ac:dyDescent="0.35">
      <c r="A46" s="3" t="s">
        <v>80</v>
      </c>
      <c r="B46" s="4">
        <v>46250</v>
      </c>
      <c r="C46" s="3" t="str">
        <f t="shared" si="0"/>
        <v>Aug 2026</v>
      </c>
      <c r="D46" s="8" t="s">
        <v>49</v>
      </c>
      <c r="E46" s="3" t="s">
        <v>17</v>
      </c>
      <c r="F46" s="3">
        <v>2</v>
      </c>
      <c r="G46" s="6">
        <v>5</v>
      </c>
      <c r="H46" s="6">
        <f t="shared" si="1"/>
        <v>10</v>
      </c>
      <c r="I46" s="3" t="s">
        <v>23</v>
      </c>
      <c r="J46" s="3" t="s">
        <v>37</v>
      </c>
    </row>
    <row r="47" spans="1:10" x14ac:dyDescent="0.35">
      <c r="A47" s="3" t="s">
        <v>81</v>
      </c>
      <c r="B47" s="4">
        <v>46251</v>
      </c>
      <c r="C47" s="3" t="str">
        <f t="shared" si="0"/>
        <v>Aug 2026</v>
      </c>
      <c r="D47" s="8" t="s">
        <v>49</v>
      </c>
      <c r="E47" s="3" t="s">
        <v>17</v>
      </c>
      <c r="F47" s="3">
        <v>5</v>
      </c>
      <c r="G47" s="6">
        <v>5</v>
      </c>
      <c r="H47" s="6">
        <f t="shared" si="1"/>
        <v>25</v>
      </c>
      <c r="I47" s="3" t="s">
        <v>18</v>
      </c>
      <c r="J47" s="3" t="s">
        <v>14</v>
      </c>
    </row>
    <row r="48" spans="1:10" x14ac:dyDescent="0.35">
      <c r="A48" s="3" t="s">
        <v>82</v>
      </c>
      <c r="B48" s="4">
        <v>46254</v>
      </c>
      <c r="C48" s="3" t="str">
        <f t="shared" si="0"/>
        <v>Aug 2026</v>
      </c>
      <c r="D48" s="8" t="s">
        <v>57</v>
      </c>
      <c r="E48" s="3" t="s">
        <v>26</v>
      </c>
      <c r="F48" s="3">
        <v>3</v>
      </c>
      <c r="G48" s="6">
        <v>3.5</v>
      </c>
      <c r="H48" s="6">
        <f t="shared" si="1"/>
        <v>10.5</v>
      </c>
      <c r="I48" s="3" t="s">
        <v>18</v>
      </c>
      <c r="J48" s="3" t="s">
        <v>27</v>
      </c>
    </row>
    <row r="49" spans="1:10" x14ac:dyDescent="0.35">
      <c r="A49" s="3" t="s">
        <v>83</v>
      </c>
      <c r="B49" s="4">
        <v>46254</v>
      </c>
      <c r="C49" s="3" t="str">
        <f t="shared" si="0"/>
        <v>Aug 2026</v>
      </c>
      <c r="D49" s="8" t="s">
        <v>16</v>
      </c>
      <c r="E49" s="3" t="s">
        <v>17</v>
      </c>
      <c r="F49" s="3">
        <v>6</v>
      </c>
      <c r="G49" s="6">
        <v>7</v>
      </c>
      <c r="H49" s="6">
        <f t="shared" si="1"/>
        <v>42</v>
      </c>
      <c r="I49" s="3" t="s">
        <v>13</v>
      </c>
      <c r="J49" s="3" t="s">
        <v>14</v>
      </c>
    </row>
    <row r="50" spans="1:10" x14ac:dyDescent="0.35">
      <c r="A50" s="3" t="s">
        <v>84</v>
      </c>
      <c r="B50" s="4">
        <v>46257</v>
      </c>
      <c r="C50" s="3" t="str">
        <f t="shared" si="0"/>
        <v>Aug 2026</v>
      </c>
      <c r="D50" s="8" t="s">
        <v>43</v>
      </c>
      <c r="E50" s="3" t="s">
        <v>36</v>
      </c>
      <c r="F50" s="3">
        <v>4</v>
      </c>
      <c r="G50" s="6">
        <v>3</v>
      </c>
      <c r="H50" s="6">
        <f t="shared" si="1"/>
        <v>12</v>
      </c>
      <c r="I50" s="3" t="s">
        <v>23</v>
      </c>
      <c r="J50" s="3" t="s">
        <v>27</v>
      </c>
    </row>
    <row r="51" spans="1:10" x14ac:dyDescent="0.35">
      <c r="A51" s="3" t="s">
        <v>85</v>
      </c>
      <c r="B51" s="4">
        <v>46257</v>
      </c>
      <c r="C51" s="3" t="str">
        <f t="shared" si="0"/>
        <v>Aug 2026</v>
      </c>
      <c r="D51" s="8" t="s">
        <v>11</v>
      </c>
      <c r="E51" s="3" t="s">
        <v>12</v>
      </c>
      <c r="F51" s="3">
        <v>6</v>
      </c>
      <c r="G51" s="6">
        <v>9</v>
      </c>
      <c r="H51" s="6">
        <f t="shared" si="1"/>
        <v>54</v>
      </c>
      <c r="I51" s="3" t="s">
        <v>33</v>
      </c>
      <c r="J51" s="3" t="s">
        <v>14</v>
      </c>
    </row>
    <row r="52" spans="1:10" x14ac:dyDescent="0.35">
      <c r="A52" s="3" t="s">
        <v>86</v>
      </c>
      <c r="B52" s="4">
        <v>46257</v>
      </c>
      <c r="C52" s="3" t="str">
        <f t="shared" si="0"/>
        <v>Aug 2026</v>
      </c>
      <c r="D52" s="8" t="s">
        <v>16</v>
      </c>
      <c r="E52" s="3" t="s">
        <v>17</v>
      </c>
      <c r="F52" s="3">
        <v>6</v>
      </c>
      <c r="G52" s="6">
        <v>7</v>
      </c>
      <c r="H52" s="6">
        <f t="shared" si="1"/>
        <v>42</v>
      </c>
      <c r="I52" s="3" t="s">
        <v>18</v>
      </c>
      <c r="J52" s="3" t="s">
        <v>37</v>
      </c>
    </row>
    <row r="53" spans="1:10" x14ac:dyDescent="0.35">
      <c r="A53" s="3" t="s">
        <v>87</v>
      </c>
      <c r="B53" s="4">
        <v>46258</v>
      </c>
      <c r="C53" s="3" t="str">
        <f t="shared" si="0"/>
        <v>Aug 2026</v>
      </c>
      <c r="D53" s="8" t="s">
        <v>43</v>
      </c>
      <c r="E53" s="3" t="s">
        <v>36</v>
      </c>
      <c r="F53" s="3">
        <v>2</v>
      </c>
      <c r="G53" s="6">
        <v>3</v>
      </c>
      <c r="H53" s="6">
        <f t="shared" si="1"/>
        <v>6</v>
      </c>
      <c r="I53" s="3" t="s">
        <v>18</v>
      </c>
      <c r="J53" s="3" t="s">
        <v>37</v>
      </c>
    </row>
    <row r="54" spans="1:10" x14ac:dyDescent="0.35">
      <c r="A54" s="3" t="s">
        <v>88</v>
      </c>
      <c r="B54" s="4">
        <v>46258</v>
      </c>
      <c r="C54" s="3" t="str">
        <f t="shared" si="0"/>
        <v>Aug 2026</v>
      </c>
      <c r="D54" s="8" t="s">
        <v>25</v>
      </c>
      <c r="E54" s="3" t="s">
        <v>26</v>
      </c>
      <c r="F54" s="3">
        <v>4</v>
      </c>
      <c r="G54" s="6">
        <v>5.5</v>
      </c>
      <c r="H54" s="6">
        <f t="shared" si="1"/>
        <v>22</v>
      </c>
      <c r="I54" s="3" t="s">
        <v>13</v>
      </c>
      <c r="J54" s="3" t="s">
        <v>14</v>
      </c>
    </row>
    <row r="55" spans="1:10" x14ac:dyDescent="0.35">
      <c r="A55" s="3" t="s">
        <v>89</v>
      </c>
      <c r="B55" s="4">
        <v>46259</v>
      </c>
      <c r="C55" s="3" t="str">
        <f t="shared" si="0"/>
        <v>Aug 2026</v>
      </c>
      <c r="D55" s="8" t="s">
        <v>57</v>
      </c>
      <c r="E55" s="3" t="s">
        <v>26</v>
      </c>
      <c r="F55" s="3">
        <v>3</v>
      </c>
      <c r="G55" s="6">
        <v>3.5</v>
      </c>
      <c r="H55" s="6">
        <f t="shared" si="1"/>
        <v>10.5</v>
      </c>
      <c r="I55" s="3" t="s">
        <v>13</v>
      </c>
      <c r="J55" s="3" t="s">
        <v>37</v>
      </c>
    </row>
    <row r="56" spans="1:10" x14ac:dyDescent="0.35">
      <c r="A56" s="3" t="s">
        <v>90</v>
      </c>
      <c r="B56" s="4">
        <v>46261</v>
      </c>
      <c r="C56" s="3" t="str">
        <f t="shared" si="0"/>
        <v>Aug 2026</v>
      </c>
      <c r="D56" s="8" t="s">
        <v>35</v>
      </c>
      <c r="E56" s="3" t="s">
        <v>36</v>
      </c>
      <c r="F56" s="3">
        <v>1</v>
      </c>
      <c r="G56" s="6">
        <v>2.5</v>
      </c>
      <c r="H56" s="6">
        <f t="shared" si="1"/>
        <v>2.5</v>
      </c>
      <c r="I56" s="3" t="s">
        <v>18</v>
      </c>
      <c r="J56" s="3" t="s">
        <v>37</v>
      </c>
    </row>
    <row r="57" spans="1:10" x14ac:dyDescent="0.35">
      <c r="A57" s="3" t="s">
        <v>91</v>
      </c>
      <c r="B57" s="4">
        <v>46262</v>
      </c>
      <c r="C57" s="3" t="str">
        <f t="shared" si="0"/>
        <v>Aug 2026</v>
      </c>
      <c r="D57" s="8" t="s">
        <v>16</v>
      </c>
      <c r="E57" s="3" t="s">
        <v>17</v>
      </c>
      <c r="F57" s="3">
        <v>2</v>
      </c>
      <c r="G57" s="6">
        <v>7</v>
      </c>
      <c r="H57" s="6">
        <f t="shared" si="1"/>
        <v>14</v>
      </c>
      <c r="I57" s="3" t="s">
        <v>13</v>
      </c>
      <c r="J57" s="3" t="s">
        <v>27</v>
      </c>
    </row>
    <row r="58" spans="1:10" x14ac:dyDescent="0.35">
      <c r="A58" s="3" t="s">
        <v>92</v>
      </c>
      <c r="B58" s="4">
        <v>46263</v>
      </c>
      <c r="C58" s="3" t="str">
        <f t="shared" si="0"/>
        <v>Aug 2026</v>
      </c>
      <c r="D58" s="8" t="s">
        <v>29</v>
      </c>
      <c r="E58" s="3" t="s">
        <v>22</v>
      </c>
      <c r="F58" s="3">
        <v>2</v>
      </c>
      <c r="G58" s="6">
        <v>4.5</v>
      </c>
      <c r="H58" s="6">
        <f t="shared" si="1"/>
        <v>9</v>
      </c>
      <c r="I58" s="3" t="s">
        <v>23</v>
      </c>
      <c r="J58" s="3" t="s">
        <v>37</v>
      </c>
    </row>
    <row r="59" spans="1:10" x14ac:dyDescent="0.35">
      <c r="A59" s="3" t="s">
        <v>93</v>
      </c>
      <c r="B59" s="4">
        <v>46267</v>
      </c>
      <c r="C59" s="3" t="str">
        <f t="shared" si="0"/>
        <v>Sep 2026</v>
      </c>
      <c r="D59" s="8" t="s">
        <v>11</v>
      </c>
      <c r="E59" s="3" t="s">
        <v>12</v>
      </c>
      <c r="F59" s="3">
        <v>5</v>
      </c>
      <c r="G59" s="6">
        <v>9</v>
      </c>
      <c r="H59" s="6">
        <f t="shared" si="1"/>
        <v>45</v>
      </c>
      <c r="I59" s="3" t="s">
        <v>23</v>
      </c>
      <c r="J59" s="3" t="s">
        <v>19</v>
      </c>
    </row>
    <row r="60" spans="1:10" x14ac:dyDescent="0.35">
      <c r="A60" s="3" t="s">
        <v>94</v>
      </c>
      <c r="B60" s="4">
        <v>46267</v>
      </c>
      <c r="C60" s="3" t="str">
        <f t="shared" si="0"/>
        <v>Sep 2026</v>
      </c>
      <c r="D60" s="8" t="s">
        <v>52</v>
      </c>
      <c r="E60" s="3" t="s">
        <v>17</v>
      </c>
      <c r="F60" s="3">
        <v>4</v>
      </c>
      <c r="G60" s="6">
        <v>14</v>
      </c>
      <c r="H60" s="6">
        <f t="shared" si="1"/>
        <v>56</v>
      </c>
      <c r="I60" s="3" t="s">
        <v>13</v>
      </c>
      <c r="J60" s="3" t="s">
        <v>27</v>
      </c>
    </row>
    <row r="61" spans="1:10" x14ac:dyDescent="0.35">
      <c r="A61" s="3" t="s">
        <v>95</v>
      </c>
      <c r="B61" s="4">
        <v>46268</v>
      </c>
      <c r="C61" s="3" t="str">
        <f t="shared" si="0"/>
        <v>Sep 2026</v>
      </c>
      <c r="D61" s="8" t="s">
        <v>31</v>
      </c>
      <c r="E61" s="3" t="s">
        <v>12</v>
      </c>
      <c r="F61" s="3">
        <v>3</v>
      </c>
      <c r="G61" s="6">
        <v>11</v>
      </c>
      <c r="H61" s="6">
        <f t="shared" si="1"/>
        <v>33</v>
      </c>
      <c r="I61" s="3" t="s">
        <v>33</v>
      </c>
      <c r="J61" s="3" t="s">
        <v>14</v>
      </c>
    </row>
    <row r="62" spans="1:10" x14ac:dyDescent="0.35">
      <c r="A62" s="3" t="s">
        <v>96</v>
      </c>
      <c r="B62" s="4">
        <v>46269</v>
      </c>
      <c r="C62" s="3" t="str">
        <f t="shared" si="0"/>
        <v>Sep 2026</v>
      </c>
      <c r="D62" s="8" t="s">
        <v>52</v>
      </c>
      <c r="E62" s="3" t="s">
        <v>17</v>
      </c>
      <c r="F62" s="3">
        <v>2</v>
      </c>
      <c r="G62" s="6">
        <v>14</v>
      </c>
      <c r="H62" s="6">
        <f t="shared" si="1"/>
        <v>28</v>
      </c>
      <c r="I62" s="3" t="s">
        <v>13</v>
      </c>
      <c r="J62" s="3" t="s">
        <v>27</v>
      </c>
    </row>
    <row r="63" spans="1:10" x14ac:dyDescent="0.35">
      <c r="A63" s="3" t="s">
        <v>97</v>
      </c>
      <c r="B63" s="4">
        <v>46271</v>
      </c>
      <c r="C63" s="3" t="str">
        <f t="shared" si="0"/>
        <v>Sep 2026</v>
      </c>
      <c r="D63" s="8" t="s">
        <v>49</v>
      </c>
      <c r="E63" s="3" t="s">
        <v>17</v>
      </c>
      <c r="F63" s="3">
        <v>2</v>
      </c>
      <c r="G63" s="6">
        <v>5</v>
      </c>
      <c r="H63" s="6">
        <f t="shared" si="1"/>
        <v>10</v>
      </c>
      <c r="I63" s="3" t="s">
        <v>18</v>
      </c>
      <c r="J63" s="3" t="s">
        <v>37</v>
      </c>
    </row>
    <row r="64" spans="1:10" x14ac:dyDescent="0.35">
      <c r="A64" s="3" t="s">
        <v>98</v>
      </c>
      <c r="B64" s="4">
        <v>46272</v>
      </c>
      <c r="C64" s="3" t="str">
        <f t="shared" si="0"/>
        <v>Sep 2026</v>
      </c>
      <c r="D64" s="8" t="s">
        <v>43</v>
      </c>
      <c r="E64" s="3" t="s">
        <v>36</v>
      </c>
      <c r="F64" s="3">
        <v>2</v>
      </c>
      <c r="G64" s="6">
        <v>3</v>
      </c>
      <c r="H64" s="6">
        <f t="shared" si="1"/>
        <v>6</v>
      </c>
      <c r="I64" s="3" t="s">
        <v>33</v>
      </c>
      <c r="J64" s="3" t="s">
        <v>27</v>
      </c>
    </row>
    <row r="65" spans="1:10" x14ac:dyDescent="0.35">
      <c r="A65" s="3" t="s">
        <v>99</v>
      </c>
      <c r="B65" s="4">
        <v>46272</v>
      </c>
      <c r="C65" s="3" t="str">
        <f t="shared" si="0"/>
        <v>Sep 2026</v>
      </c>
      <c r="D65" s="8" t="s">
        <v>52</v>
      </c>
      <c r="E65" s="3" t="s">
        <v>17</v>
      </c>
      <c r="F65" s="3">
        <v>1</v>
      </c>
      <c r="G65" s="6">
        <v>14</v>
      </c>
      <c r="H65" s="6">
        <f t="shared" si="1"/>
        <v>14</v>
      </c>
      <c r="I65" s="3" t="s">
        <v>23</v>
      </c>
      <c r="J65" s="3" t="s">
        <v>14</v>
      </c>
    </row>
    <row r="66" spans="1:10" x14ac:dyDescent="0.35">
      <c r="A66" s="3" t="s">
        <v>100</v>
      </c>
      <c r="B66" s="4">
        <v>46273</v>
      </c>
      <c r="C66" s="3" t="str">
        <f t="shared" ref="C66:C91" si="2">TEXT(B66,"mmm yyyy")</f>
        <v>Sep 2026</v>
      </c>
      <c r="D66" s="8" t="s">
        <v>11</v>
      </c>
      <c r="E66" s="3" t="s">
        <v>12</v>
      </c>
      <c r="F66" s="3">
        <v>1</v>
      </c>
      <c r="G66" s="6">
        <v>9</v>
      </c>
      <c r="H66" s="6">
        <f t="shared" ref="H66:H91" si="3">F66*G66</f>
        <v>9</v>
      </c>
      <c r="I66" s="3" t="s">
        <v>18</v>
      </c>
      <c r="J66" s="3" t="s">
        <v>37</v>
      </c>
    </row>
    <row r="67" spans="1:10" x14ac:dyDescent="0.35">
      <c r="A67" s="3" t="s">
        <v>101</v>
      </c>
      <c r="B67" s="4">
        <v>46274</v>
      </c>
      <c r="C67" s="3" t="str">
        <f t="shared" si="2"/>
        <v>Sep 2026</v>
      </c>
      <c r="D67" s="8" t="s">
        <v>40</v>
      </c>
      <c r="E67" s="3" t="s">
        <v>22</v>
      </c>
      <c r="F67" s="3">
        <v>3</v>
      </c>
      <c r="G67" s="6">
        <v>6</v>
      </c>
      <c r="H67" s="6">
        <f t="shared" si="3"/>
        <v>18</v>
      </c>
      <c r="I67" s="3" t="s">
        <v>18</v>
      </c>
      <c r="J67" s="3" t="s">
        <v>27</v>
      </c>
    </row>
    <row r="68" spans="1:10" x14ac:dyDescent="0.35">
      <c r="A68" s="3" t="s">
        <v>102</v>
      </c>
      <c r="B68" s="4">
        <v>46274</v>
      </c>
      <c r="C68" s="3" t="str">
        <f t="shared" si="2"/>
        <v>Sep 2026</v>
      </c>
      <c r="D68" s="8" t="s">
        <v>52</v>
      </c>
      <c r="E68" s="3" t="s">
        <v>17</v>
      </c>
      <c r="F68" s="3">
        <v>4</v>
      </c>
      <c r="G68" s="6">
        <v>14</v>
      </c>
      <c r="H68" s="6">
        <f t="shared" si="3"/>
        <v>56</v>
      </c>
      <c r="I68" s="3" t="s">
        <v>18</v>
      </c>
      <c r="J68" s="3" t="s">
        <v>27</v>
      </c>
    </row>
    <row r="69" spans="1:10" x14ac:dyDescent="0.35">
      <c r="A69" s="3" t="s">
        <v>103</v>
      </c>
      <c r="B69" s="4">
        <v>46275</v>
      </c>
      <c r="C69" s="3" t="str">
        <f t="shared" si="2"/>
        <v>Sep 2026</v>
      </c>
      <c r="D69" s="8" t="s">
        <v>49</v>
      </c>
      <c r="E69" s="3" t="s">
        <v>17</v>
      </c>
      <c r="F69" s="3">
        <v>3</v>
      </c>
      <c r="G69" s="6">
        <v>5</v>
      </c>
      <c r="H69" s="6">
        <f t="shared" si="3"/>
        <v>15</v>
      </c>
      <c r="I69" s="3" t="s">
        <v>13</v>
      </c>
      <c r="J69" s="3" t="s">
        <v>19</v>
      </c>
    </row>
    <row r="70" spans="1:10" x14ac:dyDescent="0.35">
      <c r="A70" s="3" t="s">
        <v>104</v>
      </c>
      <c r="B70" s="4">
        <v>46275</v>
      </c>
      <c r="C70" s="3" t="str">
        <f t="shared" si="2"/>
        <v>Sep 2026</v>
      </c>
      <c r="D70" s="8" t="s">
        <v>49</v>
      </c>
      <c r="E70" s="3" t="s">
        <v>17</v>
      </c>
      <c r="F70" s="3">
        <v>5</v>
      </c>
      <c r="G70" s="6">
        <v>5</v>
      </c>
      <c r="H70" s="6">
        <f t="shared" si="3"/>
        <v>25</v>
      </c>
      <c r="I70" s="3" t="s">
        <v>33</v>
      </c>
      <c r="J70" s="3" t="s">
        <v>37</v>
      </c>
    </row>
    <row r="71" spans="1:10" x14ac:dyDescent="0.35">
      <c r="A71" s="3" t="s">
        <v>105</v>
      </c>
      <c r="B71" s="4">
        <v>46276</v>
      </c>
      <c r="C71" s="3" t="str">
        <f t="shared" si="2"/>
        <v>Sep 2026</v>
      </c>
      <c r="D71" s="8" t="s">
        <v>31</v>
      </c>
      <c r="E71" s="3" t="s">
        <v>12</v>
      </c>
      <c r="F71" s="3">
        <v>5</v>
      </c>
      <c r="G71" s="6">
        <v>11</v>
      </c>
      <c r="H71" s="6">
        <f t="shared" si="3"/>
        <v>55</v>
      </c>
      <c r="I71" s="3" t="s">
        <v>23</v>
      </c>
      <c r="J71" s="3" t="s">
        <v>37</v>
      </c>
    </row>
    <row r="72" spans="1:10" x14ac:dyDescent="0.35">
      <c r="A72" s="3" t="s">
        <v>106</v>
      </c>
      <c r="B72" s="4">
        <v>46276</v>
      </c>
      <c r="C72" s="3" t="str">
        <f t="shared" si="2"/>
        <v>Sep 2026</v>
      </c>
      <c r="D72" s="8" t="s">
        <v>49</v>
      </c>
      <c r="E72" s="3" t="s">
        <v>17</v>
      </c>
      <c r="F72" s="3">
        <v>2</v>
      </c>
      <c r="G72" s="6">
        <v>5</v>
      </c>
      <c r="H72" s="6">
        <f t="shared" si="3"/>
        <v>10</v>
      </c>
      <c r="I72" s="3" t="s">
        <v>33</v>
      </c>
      <c r="J72" s="3" t="s">
        <v>27</v>
      </c>
    </row>
    <row r="73" spans="1:10" x14ac:dyDescent="0.35">
      <c r="A73" s="3" t="s">
        <v>107</v>
      </c>
      <c r="B73" s="4">
        <v>46277</v>
      </c>
      <c r="C73" s="3" t="str">
        <f t="shared" si="2"/>
        <v>Sep 2026</v>
      </c>
      <c r="D73" s="8" t="s">
        <v>16</v>
      </c>
      <c r="E73" s="3" t="s">
        <v>17</v>
      </c>
      <c r="F73" s="3">
        <v>4</v>
      </c>
      <c r="G73" s="6">
        <v>7</v>
      </c>
      <c r="H73" s="6">
        <f t="shared" si="3"/>
        <v>28</v>
      </c>
      <c r="I73" s="3" t="s">
        <v>23</v>
      </c>
      <c r="J73" s="3" t="s">
        <v>27</v>
      </c>
    </row>
    <row r="74" spans="1:10" x14ac:dyDescent="0.35">
      <c r="A74" s="3" t="s">
        <v>108</v>
      </c>
      <c r="B74" s="4">
        <v>46277</v>
      </c>
      <c r="C74" s="3" t="str">
        <f t="shared" si="2"/>
        <v>Sep 2026</v>
      </c>
      <c r="D74" s="8" t="s">
        <v>57</v>
      </c>
      <c r="E74" s="3" t="s">
        <v>26</v>
      </c>
      <c r="F74" s="3">
        <v>2</v>
      </c>
      <c r="G74" s="6">
        <v>3.5</v>
      </c>
      <c r="H74" s="6">
        <f t="shared" si="3"/>
        <v>7</v>
      </c>
      <c r="I74" s="3" t="s">
        <v>33</v>
      </c>
      <c r="J74" s="3" t="s">
        <v>27</v>
      </c>
    </row>
    <row r="75" spans="1:10" x14ac:dyDescent="0.35">
      <c r="A75" s="3" t="s">
        <v>109</v>
      </c>
      <c r="B75" s="4">
        <v>46277</v>
      </c>
      <c r="C75" s="3" t="str">
        <f t="shared" si="2"/>
        <v>Sep 2026</v>
      </c>
      <c r="D75" s="8" t="s">
        <v>40</v>
      </c>
      <c r="E75" s="3" t="s">
        <v>22</v>
      </c>
      <c r="F75" s="3">
        <v>6</v>
      </c>
      <c r="G75" s="6">
        <v>6</v>
      </c>
      <c r="H75" s="6">
        <f t="shared" si="3"/>
        <v>36</v>
      </c>
      <c r="I75" s="3" t="s">
        <v>23</v>
      </c>
      <c r="J75" s="3" t="s">
        <v>27</v>
      </c>
    </row>
    <row r="76" spans="1:10" x14ac:dyDescent="0.35">
      <c r="A76" s="3" t="s">
        <v>110</v>
      </c>
      <c r="B76" s="4">
        <v>46277</v>
      </c>
      <c r="C76" s="3" t="str">
        <f t="shared" si="2"/>
        <v>Sep 2026</v>
      </c>
      <c r="D76" s="8" t="s">
        <v>11</v>
      </c>
      <c r="E76" s="3" t="s">
        <v>12</v>
      </c>
      <c r="F76" s="3">
        <v>2</v>
      </c>
      <c r="G76" s="6">
        <v>9</v>
      </c>
      <c r="H76" s="6">
        <f t="shared" si="3"/>
        <v>18</v>
      </c>
      <c r="I76" s="3" t="s">
        <v>23</v>
      </c>
      <c r="J76" s="3" t="s">
        <v>37</v>
      </c>
    </row>
    <row r="77" spans="1:10" x14ac:dyDescent="0.35">
      <c r="A77" s="3" t="s">
        <v>111</v>
      </c>
      <c r="B77" s="4">
        <v>46278</v>
      </c>
      <c r="C77" s="3" t="str">
        <f t="shared" si="2"/>
        <v>Sep 2026</v>
      </c>
      <c r="D77" s="8" t="s">
        <v>29</v>
      </c>
      <c r="E77" s="3" t="s">
        <v>22</v>
      </c>
      <c r="F77" s="3">
        <v>2</v>
      </c>
      <c r="G77" s="6">
        <v>4.5</v>
      </c>
      <c r="H77" s="6">
        <f t="shared" si="3"/>
        <v>9</v>
      </c>
      <c r="I77" s="3" t="s">
        <v>33</v>
      </c>
      <c r="J77" s="3" t="s">
        <v>37</v>
      </c>
    </row>
    <row r="78" spans="1:10" x14ac:dyDescent="0.35">
      <c r="A78" s="3" t="s">
        <v>112</v>
      </c>
      <c r="B78" s="4">
        <v>46278</v>
      </c>
      <c r="C78" s="3" t="str">
        <f t="shared" si="2"/>
        <v>Sep 2026</v>
      </c>
      <c r="D78" s="8" t="s">
        <v>31</v>
      </c>
      <c r="E78" s="3" t="s">
        <v>12</v>
      </c>
      <c r="F78" s="3">
        <v>1</v>
      </c>
      <c r="G78" s="6">
        <v>11</v>
      </c>
      <c r="H78" s="6">
        <f t="shared" si="3"/>
        <v>11</v>
      </c>
      <c r="I78" s="3" t="s">
        <v>33</v>
      </c>
      <c r="J78" s="3" t="s">
        <v>14</v>
      </c>
    </row>
    <row r="79" spans="1:10" x14ac:dyDescent="0.35">
      <c r="A79" s="3" t="s">
        <v>113</v>
      </c>
      <c r="B79" s="4">
        <v>46278</v>
      </c>
      <c r="C79" s="3" t="str">
        <f t="shared" si="2"/>
        <v>Sep 2026</v>
      </c>
      <c r="D79" s="8" t="s">
        <v>43</v>
      </c>
      <c r="E79" s="3" t="s">
        <v>36</v>
      </c>
      <c r="F79" s="3">
        <v>6</v>
      </c>
      <c r="G79" s="6">
        <v>3</v>
      </c>
      <c r="H79" s="6">
        <f t="shared" si="3"/>
        <v>18</v>
      </c>
      <c r="I79" s="3" t="s">
        <v>13</v>
      </c>
      <c r="J79" s="3" t="s">
        <v>37</v>
      </c>
    </row>
    <row r="80" spans="1:10" x14ac:dyDescent="0.35">
      <c r="A80" s="3" t="s">
        <v>114</v>
      </c>
      <c r="B80" s="4">
        <v>46278</v>
      </c>
      <c r="C80" s="3" t="str">
        <f t="shared" si="2"/>
        <v>Sep 2026</v>
      </c>
      <c r="D80" s="8" t="s">
        <v>31</v>
      </c>
      <c r="E80" s="3" t="s">
        <v>12</v>
      </c>
      <c r="F80" s="3">
        <v>4</v>
      </c>
      <c r="G80" s="6">
        <v>11</v>
      </c>
      <c r="H80" s="6">
        <f t="shared" si="3"/>
        <v>44</v>
      </c>
      <c r="I80" s="3" t="s">
        <v>33</v>
      </c>
      <c r="J80" s="3" t="s">
        <v>19</v>
      </c>
    </row>
    <row r="81" spans="1:10" x14ac:dyDescent="0.35">
      <c r="A81" s="3" t="s">
        <v>115</v>
      </c>
      <c r="B81" s="4">
        <v>46278</v>
      </c>
      <c r="C81" s="3" t="str">
        <f t="shared" si="2"/>
        <v>Sep 2026</v>
      </c>
      <c r="D81" s="8" t="s">
        <v>16</v>
      </c>
      <c r="E81" s="3" t="s">
        <v>17</v>
      </c>
      <c r="F81" s="3">
        <v>2</v>
      </c>
      <c r="G81" s="6">
        <v>7</v>
      </c>
      <c r="H81" s="6">
        <f t="shared" si="3"/>
        <v>14</v>
      </c>
      <c r="I81" s="3" t="s">
        <v>23</v>
      </c>
      <c r="J81" s="3" t="s">
        <v>19</v>
      </c>
    </row>
    <row r="82" spans="1:10" x14ac:dyDescent="0.35">
      <c r="A82" s="3" t="s">
        <v>116</v>
      </c>
      <c r="B82" s="4">
        <v>46281</v>
      </c>
      <c r="C82" s="3" t="str">
        <f t="shared" si="2"/>
        <v>Sep 2026</v>
      </c>
      <c r="D82" s="8" t="s">
        <v>59</v>
      </c>
      <c r="E82" s="3" t="s">
        <v>36</v>
      </c>
      <c r="F82" s="3">
        <v>6</v>
      </c>
      <c r="G82" s="6">
        <v>8</v>
      </c>
      <c r="H82" s="6">
        <f t="shared" si="3"/>
        <v>48</v>
      </c>
      <c r="I82" s="3" t="s">
        <v>23</v>
      </c>
      <c r="J82" s="3" t="s">
        <v>27</v>
      </c>
    </row>
    <row r="83" spans="1:10" x14ac:dyDescent="0.35">
      <c r="A83" s="3" t="s">
        <v>117</v>
      </c>
      <c r="B83" s="4">
        <v>46283</v>
      </c>
      <c r="C83" s="3" t="str">
        <f t="shared" si="2"/>
        <v>Sep 2026</v>
      </c>
      <c r="D83" s="8" t="s">
        <v>21</v>
      </c>
      <c r="E83" s="3" t="s">
        <v>22</v>
      </c>
      <c r="F83" s="3">
        <v>5</v>
      </c>
      <c r="G83" s="6">
        <v>12</v>
      </c>
      <c r="H83" s="6">
        <f t="shared" si="3"/>
        <v>60</v>
      </c>
      <c r="I83" s="3" t="s">
        <v>33</v>
      </c>
      <c r="J83" s="3" t="s">
        <v>14</v>
      </c>
    </row>
    <row r="84" spans="1:10" x14ac:dyDescent="0.35">
      <c r="A84" s="3" t="s">
        <v>118</v>
      </c>
      <c r="B84" s="4">
        <v>46284</v>
      </c>
      <c r="C84" s="3" t="str">
        <f t="shared" si="2"/>
        <v>Sep 2026</v>
      </c>
      <c r="D84" s="8" t="s">
        <v>31</v>
      </c>
      <c r="E84" s="3" t="s">
        <v>12</v>
      </c>
      <c r="F84" s="3">
        <v>1</v>
      </c>
      <c r="G84" s="6">
        <v>11</v>
      </c>
      <c r="H84" s="6">
        <f t="shared" si="3"/>
        <v>11</v>
      </c>
      <c r="I84" s="3" t="s">
        <v>33</v>
      </c>
      <c r="J84" s="3" t="s">
        <v>19</v>
      </c>
    </row>
    <row r="85" spans="1:10" x14ac:dyDescent="0.35">
      <c r="A85" s="3" t="s">
        <v>119</v>
      </c>
      <c r="B85" s="4">
        <v>46284</v>
      </c>
      <c r="C85" s="3" t="str">
        <f t="shared" si="2"/>
        <v>Sep 2026</v>
      </c>
      <c r="D85" s="8" t="s">
        <v>52</v>
      </c>
      <c r="E85" s="3" t="s">
        <v>17</v>
      </c>
      <c r="F85" s="3">
        <v>5</v>
      </c>
      <c r="G85" s="6">
        <v>14</v>
      </c>
      <c r="H85" s="6">
        <f t="shared" si="3"/>
        <v>70</v>
      </c>
      <c r="I85" s="3" t="s">
        <v>23</v>
      </c>
      <c r="J85" s="3" t="s">
        <v>27</v>
      </c>
    </row>
    <row r="86" spans="1:10" x14ac:dyDescent="0.35">
      <c r="A86" s="3" t="s">
        <v>120</v>
      </c>
      <c r="B86" s="4">
        <v>46285</v>
      </c>
      <c r="C86" s="3" t="str">
        <f t="shared" si="2"/>
        <v>Sep 2026</v>
      </c>
      <c r="D86" s="8" t="s">
        <v>59</v>
      </c>
      <c r="E86" s="3" t="s">
        <v>36</v>
      </c>
      <c r="F86" s="3">
        <v>2</v>
      </c>
      <c r="G86" s="6">
        <v>8</v>
      </c>
      <c r="H86" s="6">
        <f t="shared" si="3"/>
        <v>16</v>
      </c>
      <c r="I86" s="3" t="s">
        <v>18</v>
      </c>
      <c r="J86" s="3" t="s">
        <v>27</v>
      </c>
    </row>
    <row r="87" spans="1:10" x14ac:dyDescent="0.35">
      <c r="A87" s="3" t="s">
        <v>121</v>
      </c>
      <c r="B87" s="4">
        <v>46287</v>
      </c>
      <c r="C87" s="3" t="str">
        <f t="shared" si="2"/>
        <v>Sep 2026</v>
      </c>
      <c r="D87" s="8" t="s">
        <v>29</v>
      </c>
      <c r="E87" s="3" t="s">
        <v>22</v>
      </c>
      <c r="F87" s="3">
        <v>3</v>
      </c>
      <c r="G87" s="6">
        <v>4.5</v>
      </c>
      <c r="H87" s="6">
        <f t="shared" si="3"/>
        <v>13.5</v>
      </c>
      <c r="I87" s="3" t="s">
        <v>18</v>
      </c>
      <c r="J87" s="3" t="s">
        <v>37</v>
      </c>
    </row>
    <row r="88" spans="1:10" x14ac:dyDescent="0.35">
      <c r="A88" s="3" t="s">
        <v>122</v>
      </c>
      <c r="B88" s="4">
        <v>46291</v>
      </c>
      <c r="C88" s="3" t="str">
        <f t="shared" si="2"/>
        <v>Sep 2026</v>
      </c>
      <c r="D88" s="8" t="s">
        <v>29</v>
      </c>
      <c r="E88" s="3" t="s">
        <v>22</v>
      </c>
      <c r="F88" s="3">
        <v>2</v>
      </c>
      <c r="G88" s="6">
        <v>4.5</v>
      </c>
      <c r="H88" s="6">
        <f t="shared" si="3"/>
        <v>9</v>
      </c>
      <c r="I88" s="3" t="s">
        <v>33</v>
      </c>
      <c r="J88" s="3" t="s">
        <v>19</v>
      </c>
    </row>
    <row r="89" spans="1:10" x14ac:dyDescent="0.35">
      <c r="A89" s="3" t="s">
        <v>123</v>
      </c>
      <c r="B89" s="4">
        <v>46291</v>
      </c>
      <c r="C89" s="3" t="str">
        <f t="shared" si="2"/>
        <v>Sep 2026</v>
      </c>
      <c r="D89" s="8" t="s">
        <v>16</v>
      </c>
      <c r="E89" s="3" t="s">
        <v>17</v>
      </c>
      <c r="F89" s="3">
        <v>2</v>
      </c>
      <c r="G89" s="6">
        <v>7</v>
      </c>
      <c r="H89" s="6">
        <f t="shared" si="3"/>
        <v>14</v>
      </c>
      <c r="I89" s="3" t="s">
        <v>33</v>
      </c>
      <c r="J89" s="3" t="s">
        <v>19</v>
      </c>
    </row>
    <row r="90" spans="1:10" x14ac:dyDescent="0.35">
      <c r="A90" s="3" t="s">
        <v>124</v>
      </c>
      <c r="B90" s="4">
        <v>46293</v>
      </c>
      <c r="C90" s="3" t="str">
        <f t="shared" si="2"/>
        <v>Sep 2026</v>
      </c>
      <c r="D90" s="8" t="s">
        <v>59</v>
      </c>
      <c r="E90" s="3" t="s">
        <v>36</v>
      </c>
      <c r="F90" s="3">
        <v>3</v>
      </c>
      <c r="G90" s="6">
        <v>8</v>
      </c>
      <c r="H90" s="6">
        <f t="shared" si="3"/>
        <v>24</v>
      </c>
      <c r="I90" s="3" t="s">
        <v>18</v>
      </c>
      <c r="J90" s="3" t="s">
        <v>37</v>
      </c>
    </row>
    <row r="91" spans="1:10" x14ac:dyDescent="0.35">
      <c r="A91" s="3" t="s">
        <v>125</v>
      </c>
      <c r="B91" s="4">
        <v>46295</v>
      </c>
      <c r="C91" s="3" t="str">
        <f t="shared" si="2"/>
        <v>Sep 2026</v>
      </c>
      <c r="D91" s="8" t="s">
        <v>16</v>
      </c>
      <c r="E91" s="3" t="s">
        <v>17</v>
      </c>
      <c r="F91" s="3">
        <v>1</v>
      </c>
      <c r="G91" s="6">
        <v>7</v>
      </c>
      <c r="H91" s="6">
        <f t="shared" si="3"/>
        <v>7</v>
      </c>
      <c r="I91" s="3" t="s">
        <v>23</v>
      </c>
      <c r="J91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4E51-E7FC-480D-B8DB-1805FBDA70E3}">
  <dimension ref="A3:O73"/>
  <sheetViews>
    <sheetView zoomScale="46" zoomScaleNormal="24" workbookViewId="0">
      <selection activeCell="O57" sqref="O57"/>
    </sheetView>
  </sheetViews>
  <sheetFormatPr defaultRowHeight="14.5" x14ac:dyDescent="0.35"/>
  <cols>
    <col min="1" max="1" width="16.90625" bestFit="1" customWidth="1"/>
    <col min="2" max="2" width="16.453125" bestFit="1" customWidth="1"/>
    <col min="3" max="3" width="6" bestFit="1" customWidth="1"/>
    <col min="4" max="4" width="6.08984375" bestFit="1" customWidth="1"/>
    <col min="5" max="5" width="4.453125" bestFit="1" customWidth="1"/>
    <col min="6" max="6" width="10.7265625" bestFit="1" customWidth="1"/>
    <col min="7" max="7" width="11.7265625" bestFit="1" customWidth="1"/>
    <col min="8" max="8" width="17" bestFit="1" customWidth="1"/>
    <col min="9" max="9" width="15.81640625" bestFit="1" customWidth="1"/>
    <col min="10" max="10" width="16.453125" bestFit="1" customWidth="1"/>
    <col min="11" max="11" width="12.453125" bestFit="1" customWidth="1"/>
    <col min="12" max="12" width="10.08984375" bestFit="1" customWidth="1"/>
    <col min="13" max="13" width="8.6328125" bestFit="1" customWidth="1"/>
    <col min="14" max="14" width="9" bestFit="1" customWidth="1"/>
    <col min="15" max="15" width="11.7265625" bestFit="1" customWidth="1"/>
    <col min="16" max="16" width="17" bestFit="1" customWidth="1"/>
    <col min="17" max="17" width="13.81640625" bestFit="1" customWidth="1"/>
    <col min="18" max="18" width="11.54296875" bestFit="1" customWidth="1"/>
    <col min="19" max="19" width="10.36328125" bestFit="1" customWidth="1"/>
    <col min="20" max="20" width="9.54296875" bestFit="1" customWidth="1"/>
    <col min="21" max="21" width="10.81640625" bestFit="1" customWidth="1"/>
    <col min="22" max="22" width="11" bestFit="1" customWidth="1"/>
    <col min="23" max="23" width="10.7265625" bestFit="1" customWidth="1"/>
  </cols>
  <sheetData>
    <row r="3" spans="1:5" x14ac:dyDescent="0.35">
      <c r="A3" s="9" t="s">
        <v>137</v>
      </c>
      <c r="B3" s="9" t="s">
        <v>136</v>
      </c>
    </row>
    <row r="4" spans="1:5" x14ac:dyDescent="0.35">
      <c r="A4" s="9" t="s">
        <v>148</v>
      </c>
      <c r="B4" t="s">
        <v>128</v>
      </c>
      <c r="C4" t="s">
        <v>129</v>
      </c>
      <c r="D4" t="s">
        <v>130</v>
      </c>
      <c r="E4" t="s">
        <v>134</v>
      </c>
    </row>
    <row r="5" spans="1:5" x14ac:dyDescent="0.35">
      <c r="A5" s="10" t="s">
        <v>52</v>
      </c>
      <c r="B5">
        <v>3</v>
      </c>
      <c r="C5">
        <v>5</v>
      </c>
      <c r="D5">
        <v>16</v>
      </c>
      <c r="E5">
        <v>24</v>
      </c>
    </row>
    <row r="6" spans="1:5" x14ac:dyDescent="0.35">
      <c r="A6" s="10" t="s">
        <v>29</v>
      </c>
      <c r="B6">
        <v>11</v>
      </c>
      <c r="C6">
        <v>2</v>
      </c>
      <c r="D6">
        <v>7</v>
      </c>
      <c r="E6">
        <v>20</v>
      </c>
    </row>
    <row r="7" spans="1:5" x14ac:dyDescent="0.35">
      <c r="A7" s="10" t="s">
        <v>43</v>
      </c>
      <c r="B7">
        <v>9</v>
      </c>
      <c r="C7">
        <v>15</v>
      </c>
      <c r="D7">
        <v>8</v>
      </c>
      <c r="E7">
        <v>32</v>
      </c>
    </row>
    <row r="8" spans="1:5" x14ac:dyDescent="0.35">
      <c r="A8" s="10" t="s">
        <v>57</v>
      </c>
      <c r="B8">
        <v>7</v>
      </c>
      <c r="C8">
        <v>9</v>
      </c>
      <c r="D8">
        <v>2</v>
      </c>
      <c r="E8">
        <v>18</v>
      </c>
    </row>
    <row r="9" spans="1:5" x14ac:dyDescent="0.35">
      <c r="A9" s="10" t="s">
        <v>31</v>
      </c>
      <c r="B9">
        <v>14</v>
      </c>
      <c r="D9">
        <v>14</v>
      </c>
      <c r="E9">
        <v>28</v>
      </c>
    </row>
    <row r="10" spans="1:5" x14ac:dyDescent="0.35">
      <c r="A10" s="10" t="s">
        <v>16</v>
      </c>
      <c r="B10">
        <v>9</v>
      </c>
      <c r="C10">
        <v>20</v>
      </c>
      <c r="D10">
        <v>9</v>
      </c>
      <c r="E10">
        <v>38</v>
      </c>
    </row>
    <row r="11" spans="1:5" x14ac:dyDescent="0.35">
      <c r="A11" s="10" t="s">
        <v>35</v>
      </c>
      <c r="B11">
        <v>9</v>
      </c>
      <c r="C11">
        <v>4</v>
      </c>
      <c r="E11">
        <v>13</v>
      </c>
    </row>
    <row r="12" spans="1:5" x14ac:dyDescent="0.35">
      <c r="A12" s="10" t="s">
        <v>59</v>
      </c>
      <c r="B12">
        <v>7</v>
      </c>
      <c r="C12">
        <v>2</v>
      </c>
      <c r="D12">
        <v>11</v>
      </c>
      <c r="E12">
        <v>20</v>
      </c>
    </row>
    <row r="13" spans="1:5" x14ac:dyDescent="0.35">
      <c r="A13" s="10" t="s">
        <v>40</v>
      </c>
      <c r="B13">
        <v>14</v>
      </c>
      <c r="C13">
        <v>6</v>
      </c>
      <c r="D13">
        <v>9</v>
      </c>
      <c r="E13">
        <v>29</v>
      </c>
    </row>
    <row r="14" spans="1:5" x14ac:dyDescent="0.35">
      <c r="A14" s="10" t="s">
        <v>21</v>
      </c>
      <c r="B14">
        <v>17</v>
      </c>
      <c r="D14">
        <v>5</v>
      </c>
      <c r="E14">
        <v>22</v>
      </c>
    </row>
    <row r="15" spans="1:5" x14ac:dyDescent="0.35">
      <c r="A15" s="10" t="s">
        <v>11</v>
      </c>
      <c r="B15">
        <v>9</v>
      </c>
      <c r="C15">
        <v>12</v>
      </c>
      <c r="D15">
        <v>8</v>
      </c>
      <c r="E15">
        <v>29</v>
      </c>
    </row>
    <row r="16" spans="1:5" x14ac:dyDescent="0.35">
      <c r="A16" s="10" t="s">
        <v>25</v>
      </c>
      <c r="B16">
        <v>5</v>
      </c>
      <c r="C16">
        <v>4</v>
      </c>
      <c r="E16">
        <v>9</v>
      </c>
    </row>
    <row r="17" spans="1:5" x14ac:dyDescent="0.35">
      <c r="A17" s="10" t="s">
        <v>49</v>
      </c>
      <c r="B17">
        <v>10</v>
      </c>
      <c r="C17">
        <v>7</v>
      </c>
      <c r="D17">
        <v>12</v>
      </c>
      <c r="E17">
        <v>29</v>
      </c>
    </row>
    <row r="18" spans="1:5" x14ac:dyDescent="0.35">
      <c r="A18" s="10" t="s">
        <v>134</v>
      </c>
      <c r="B18">
        <v>124</v>
      </c>
      <c r="C18">
        <v>86</v>
      </c>
      <c r="D18">
        <v>101</v>
      </c>
      <c r="E18">
        <v>311</v>
      </c>
    </row>
    <row r="27" spans="1:5" x14ac:dyDescent="0.35">
      <c r="A27" s="9" t="s">
        <v>133</v>
      </c>
      <c r="B27" t="s">
        <v>149</v>
      </c>
    </row>
    <row r="28" spans="1:5" x14ac:dyDescent="0.35">
      <c r="A28" s="10" t="s">
        <v>26</v>
      </c>
      <c r="B28" s="14">
        <v>112.5</v>
      </c>
    </row>
    <row r="29" spans="1:5" x14ac:dyDescent="0.35">
      <c r="A29" s="13" t="s">
        <v>57</v>
      </c>
      <c r="B29" s="14">
        <v>63</v>
      </c>
    </row>
    <row r="30" spans="1:5" x14ac:dyDescent="0.35">
      <c r="A30" s="13" t="s">
        <v>25</v>
      </c>
      <c r="B30" s="14">
        <v>49.5</v>
      </c>
    </row>
    <row r="31" spans="1:5" x14ac:dyDescent="0.35">
      <c r="A31" s="10" t="s">
        <v>36</v>
      </c>
      <c r="B31" s="14">
        <v>288.5</v>
      </c>
    </row>
    <row r="32" spans="1:5" x14ac:dyDescent="0.35">
      <c r="A32" s="13" t="s">
        <v>43</v>
      </c>
      <c r="B32" s="14">
        <v>96</v>
      </c>
    </row>
    <row r="33" spans="1:2" x14ac:dyDescent="0.35">
      <c r="A33" s="13" t="s">
        <v>35</v>
      </c>
      <c r="B33" s="14">
        <v>32.5</v>
      </c>
    </row>
    <row r="34" spans="1:2" x14ac:dyDescent="0.35">
      <c r="A34" s="13" t="s">
        <v>59</v>
      </c>
      <c r="B34" s="14">
        <v>160</v>
      </c>
    </row>
    <row r="35" spans="1:2" x14ac:dyDescent="0.35">
      <c r="A35" s="10" t="s">
        <v>17</v>
      </c>
      <c r="B35" s="14">
        <v>747</v>
      </c>
    </row>
    <row r="36" spans="1:2" x14ac:dyDescent="0.35">
      <c r="A36" s="13" t="s">
        <v>52</v>
      </c>
      <c r="B36" s="14">
        <v>336</v>
      </c>
    </row>
    <row r="37" spans="1:2" x14ac:dyDescent="0.35">
      <c r="A37" s="13" t="s">
        <v>16</v>
      </c>
      <c r="B37" s="14">
        <v>266</v>
      </c>
    </row>
    <row r="38" spans="1:2" x14ac:dyDescent="0.35">
      <c r="A38" s="13" t="s">
        <v>49</v>
      </c>
      <c r="B38" s="14">
        <v>145</v>
      </c>
    </row>
    <row r="39" spans="1:2" x14ac:dyDescent="0.35">
      <c r="A39" s="10" t="s">
        <v>12</v>
      </c>
      <c r="B39" s="14">
        <v>569</v>
      </c>
    </row>
    <row r="40" spans="1:2" x14ac:dyDescent="0.35">
      <c r="A40" s="13" t="s">
        <v>31</v>
      </c>
      <c r="B40" s="14">
        <v>308</v>
      </c>
    </row>
    <row r="41" spans="1:2" x14ac:dyDescent="0.35">
      <c r="A41" s="13" t="s">
        <v>11</v>
      </c>
      <c r="B41" s="14">
        <v>261</v>
      </c>
    </row>
    <row r="42" spans="1:2" x14ac:dyDescent="0.35">
      <c r="A42" s="10" t="s">
        <v>22</v>
      </c>
      <c r="B42" s="14">
        <v>528</v>
      </c>
    </row>
    <row r="43" spans="1:2" x14ac:dyDescent="0.35">
      <c r="A43" s="13" t="s">
        <v>29</v>
      </c>
      <c r="B43" s="14">
        <v>90</v>
      </c>
    </row>
    <row r="44" spans="1:2" x14ac:dyDescent="0.35">
      <c r="A44" s="13" t="s">
        <v>40</v>
      </c>
      <c r="B44" s="14">
        <v>174</v>
      </c>
    </row>
    <row r="45" spans="1:2" x14ac:dyDescent="0.35">
      <c r="A45" s="13" t="s">
        <v>21</v>
      </c>
      <c r="B45" s="14">
        <v>264</v>
      </c>
    </row>
    <row r="46" spans="1:2" x14ac:dyDescent="0.35">
      <c r="A46" s="10" t="s">
        <v>134</v>
      </c>
      <c r="B46" s="14">
        <v>2245</v>
      </c>
    </row>
    <row r="51" spans="1:15" x14ac:dyDescent="0.35">
      <c r="A51" s="9" t="s">
        <v>147</v>
      </c>
      <c r="B51" s="9" t="s">
        <v>135</v>
      </c>
    </row>
    <row r="52" spans="1:15" x14ac:dyDescent="0.35">
      <c r="A52" s="9" t="s">
        <v>133</v>
      </c>
      <c r="B52" t="s">
        <v>52</v>
      </c>
      <c r="C52" t="s">
        <v>29</v>
      </c>
      <c r="D52" t="s">
        <v>43</v>
      </c>
      <c r="E52" t="s">
        <v>57</v>
      </c>
      <c r="F52" t="s">
        <v>31</v>
      </c>
      <c r="G52" t="s">
        <v>16</v>
      </c>
      <c r="H52" t="s">
        <v>35</v>
      </c>
      <c r="I52" t="s">
        <v>59</v>
      </c>
      <c r="J52" t="s">
        <v>40</v>
      </c>
      <c r="K52" t="s">
        <v>21</v>
      </c>
      <c r="L52" t="s">
        <v>11</v>
      </c>
      <c r="M52" t="s">
        <v>25</v>
      </c>
      <c r="N52" t="s">
        <v>49</v>
      </c>
      <c r="O52" t="s">
        <v>134</v>
      </c>
    </row>
    <row r="53" spans="1:15" x14ac:dyDescent="0.35">
      <c r="A53" s="10" t="s">
        <v>27</v>
      </c>
      <c r="B53">
        <v>19</v>
      </c>
      <c r="C53">
        <v>4</v>
      </c>
      <c r="D53">
        <v>6</v>
      </c>
      <c r="E53">
        <v>5</v>
      </c>
      <c r="G53">
        <v>11</v>
      </c>
      <c r="H53">
        <v>5</v>
      </c>
      <c r="I53">
        <v>11</v>
      </c>
      <c r="J53">
        <v>15</v>
      </c>
      <c r="K53">
        <v>5</v>
      </c>
      <c r="M53">
        <v>5</v>
      </c>
      <c r="N53">
        <v>2</v>
      </c>
      <c r="O53">
        <v>88</v>
      </c>
    </row>
    <row r="54" spans="1:15" x14ac:dyDescent="0.35">
      <c r="A54" s="10" t="s">
        <v>19</v>
      </c>
      <c r="B54">
        <v>1</v>
      </c>
      <c r="C54">
        <v>8</v>
      </c>
      <c r="D54">
        <v>13</v>
      </c>
      <c r="E54">
        <v>4</v>
      </c>
      <c r="F54">
        <v>5</v>
      </c>
      <c r="G54">
        <v>5</v>
      </c>
      <c r="H54">
        <v>3</v>
      </c>
      <c r="I54">
        <v>2</v>
      </c>
      <c r="L54">
        <v>11</v>
      </c>
      <c r="N54">
        <v>12</v>
      </c>
      <c r="O54">
        <v>64</v>
      </c>
    </row>
    <row r="55" spans="1:15" x14ac:dyDescent="0.35">
      <c r="A55" s="10" t="s">
        <v>14</v>
      </c>
      <c r="B55">
        <v>1</v>
      </c>
      <c r="C55">
        <v>1</v>
      </c>
      <c r="D55">
        <v>4</v>
      </c>
      <c r="F55">
        <v>15</v>
      </c>
      <c r="G55">
        <v>10</v>
      </c>
      <c r="J55">
        <v>6</v>
      </c>
      <c r="K55">
        <v>11</v>
      </c>
      <c r="L55">
        <v>15</v>
      </c>
      <c r="M55">
        <v>4</v>
      </c>
      <c r="N55">
        <v>6</v>
      </c>
      <c r="O55">
        <v>73</v>
      </c>
    </row>
    <row r="56" spans="1:15" x14ac:dyDescent="0.35">
      <c r="A56" s="10" t="s">
        <v>37</v>
      </c>
      <c r="B56">
        <v>3</v>
      </c>
      <c r="C56">
        <v>7</v>
      </c>
      <c r="D56">
        <v>9</v>
      </c>
      <c r="E56">
        <v>9</v>
      </c>
      <c r="F56">
        <v>8</v>
      </c>
      <c r="G56">
        <v>12</v>
      </c>
      <c r="H56">
        <v>5</v>
      </c>
      <c r="I56">
        <v>7</v>
      </c>
      <c r="J56">
        <v>8</v>
      </c>
      <c r="K56">
        <v>6</v>
      </c>
      <c r="L56">
        <v>3</v>
      </c>
      <c r="N56">
        <v>9</v>
      </c>
      <c r="O56">
        <v>86</v>
      </c>
    </row>
    <row r="57" spans="1:15" x14ac:dyDescent="0.35">
      <c r="A57" s="10" t="s">
        <v>134</v>
      </c>
      <c r="B57">
        <v>24</v>
      </c>
      <c r="C57">
        <v>20</v>
      </c>
      <c r="D57">
        <v>32</v>
      </c>
      <c r="E57">
        <v>18</v>
      </c>
      <c r="F57">
        <v>28</v>
      </c>
      <c r="G57">
        <v>38</v>
      </c>
      <c r="H57">
        <v>13</v>
      </c>
      <c r="I57">
        <v>20</v>
      </c>
      <c r="J57">
        <v>29</v>
      </c>
      <c r="K57">
        <v>22</v>
      </c>
      <c r="L57">
        <v>29</v>
      </c>
      <c r="M57">
        <v>9</v>
      </c>
      <c r="N57">
        <v>29</v>
      </c>
      <c r="O57">
        <v>311</v>
      </c>
    </row>
    <row r="62" spans="1:15" x14ac:dyDescent="0.35">
      <c r="A62" s="15" t="s">
        <v>151</v>
      </c>
      <c r="B62" s="16" t="s">
        <v>134</v>
      </c>
      <c r="C62" s="17" t="s">
        <v>150</v>
      </c>
    </row>
    <row r="63" spans="1:15" x14ac:dyDescent="0.35">
      <c r="A63" s="10" t="s">
        <v>27</v>
      </c>
      <c r="B63">
        <f>O53</f>
        <v>88</v>
      </c>
      <c r="C63">
        <f>RANK(B63,$B$63:$B$66)</f>
        <v>1</v>
      </c>
    </row>
    <row r="64" spans="1:15" x14ac:dyDescent="0.35">
      <c r="A64" s="10" t="s">
        <v>19</v>
      </c>
      <c r="B64">
        <f>O54</f>
        <v>64</v>
      </c>
      <c r="C64">
        <f>RANK(B64,$B$63:$B$66)</f>
        <v>4</v>
      </c>
    </row>
    <row r="65" spans="1:3" x14ac:dyDescent="0.35">
      <c r="A65" s="10" t="s">
        <v>14</v>
      </c>
      <c r="B65">
        <f>O55</f>
        <v>73</v>
      </c>
      <c r="C65">
        <f>RANK(B65,$B$63:$B$66)</f>
        <v>3</v>
      </c>
    </row>
    <row r="66" spans="1:3" x14ac:dyDescent="0.35">
      <c r="A66" s="10" t="s">
        <v>37</v>
      </c>
      <c r="B66">
        <f>O56</f>
        <v>86</v>
      </c>
      <c r="C66">
        <f>RANK(B66,$B$63:$B$66)</f>
        <v>2</v>
      </c>
    </row>
    <row r="69" spans="1:3" x14ac:dyDescent="0.35">
      <c r="A69" s="19" t="s">
        <v>145</v>
      </c>
      <c r="B69" s="19" t="s">
        <v>152</v>
      </c>
    </row>
    <row r="70" spans="1:3" x14ac:dyDescent="0.35">
      <c r="A70" s="18" t="s">
        <v>13</v>
      </c>
      <c r="B70">
        <f>COUNTIF(Database!$I$2:$I$91,A70)</f>
        <v>19</v>
      </c>
    </row>
    <row r="71" spans="1:3" x14ac:dyDescent="0.35">
      <c r="A71" s="18" t="s">
        <v>18</v>
      </c>
      <c r="B71">
        <f>COUNTIF(Database!$I$2:$I$91,A71)</f>
        <v>24</v>
      </c>
    </row>
    <row r="72" spans="1:3" x14ac:dyDescent="0.35">
      <c r="A72" s="18" t="s">
        <v>23</v>
      </c>
      <c r="B72">
        <f>COUNTIF(Database!$I$2:$I$91,A72)</f>
        <v>23</v>
      </c>
    </row>
    <row r="73" spans="1:3" x14ac:dyDescent="0.35">
      <c r="A73" s="18" t="s">
        <v>33</v>
      </c>
      <c r="B73">
        <f>COUNTIF(Database!$I$2:$I$91,A73)</f>
        <v>24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96D5-9532-4779-9B54-FC0FDE2B7536}">
  <dimension ref="A1:L3"/>
  <sheetViews>
    <sheetView zoomScale="51" zoomScaleNormal="51" zoomScalePageLayoutView="49" workbookViewId="0">
      <selection activeCell="Z22" sqref="Z22"/>
    </sheetView>
  </sheetViews>
  <sheetFormatPr defaultRowHeight="14.5" x14ac:dyDescent="0.35"/>
  <sheetData>
    <row r="1" spans="1:12" x14ac:dyDescent="0.35">
      <c r="A1" s="20" t="s">
        <v>127</v>
      </c>
      <c r="B1" s="20"/>
      <c r="C1" s="20"/>
      <c r="D1" s="20" t="s">
        <v>131</v>
      </c>
      <c r="E1" s="20"/>
      <c r="F1" s="20"/>
      <c r="G1" s="20" t="s">
        <v>126</v>
      </c>
      <c r="H1" s="20"/>
      <c r="I1" s="20"/>
      <c r="J1" s="20" t="s">
        <v>132</v>
      </c>
      <c r="K1" s="20"/>
      <c r="L1" s="20"/>
    </row>
    <row r="2" spans="1:12" x14ac:dyDescent="0.35">
      <c r="A2" s="21">
        <f>SUM(Database!$H$2:$H$91)</f>
        <v>2245</v>
      </c>
      <c r="B2" s="21"/>
      <c r="C2" s="21"/>
      <c r="D2" s="21">
        <f>COUNTA(Database!$A$2:$A$91)</f>
        <v>90</v>
      </c>
      <c r="E2" s="21"/>
      <c r="F2" s="21"/>
      <c r="G2" s="21">
        <f>SUM(Database!$F$2:$F$91)</f>
        <v>311</v>
      </c>
      <c r="H2" s="21"/>
      <c r="I2" s="21"/>
      <c r="J2" s="22">
        <f>A2/D2</f>
        <v>24.944444444444443</v>
      </c>
      <c r="K2" s="22"/>
      <c r="L2" s="22"/>
    </row>
    <row r="3" spans="1:12" x14ac:dyDescent="0.35">
      <c r="A3" s="21"/>
      <c r="B3" s="21"/>
      <c r="C3" s="21"/>
      <c r="D3" s="21"/>
      <c r="E3" s="21"/>
      <c r="F3" s="21"/>
      <c r="G3" s="21"/>
      <c r="H3" s="21"/>
      <c r="I3" s="21"/>
      <c r="J3" s="22"/>
      <c r="K3" s="22"/>
      <c r="L3" s="22"/>
    </row>
  </sheetData>
  <mergeCells count="8">
    <mergeCell ref="A1:C1"/>
    <mergeCell ref="D1:F1"/>
    <mergeCell ref="G1:I1"/>
    <mergeCell ref="J1:L1"/>
    <mergeCell ref="A2:C3"/>
    <mergeCell ref="D2:F3"/>
    <mergeCell ref="G2:I3"/>
    <mergeCell ref="J2:L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Data_Source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LUJAIN M</cp:lastModifiedBy>
  <cp:revision>1</cp:revision>
  <dcterms:created xsi:type="dcterms:W3CDTF">2026-10-12T14:20:06Z</dcterms:created>
  <dcterms:modified xsi:type="dcterms:W3CDTF">2026-10-26T12:21:59Z</dcterms:modified>
  <dc:language>en-US</dc:language>
</cp:coreProperties>
</file>